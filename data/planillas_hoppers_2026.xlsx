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1" state="visible" r:id="rId4"/>
    <sheet sheetId="2" name="F2" state="visible" r:id="rId5"/>
    <sheet sheetId="3" name="F3" state="visible" r:id="rId6"/>
    <sheet sheetId="4" name="F4" state="visible" r:id="rId7"/>
    <sheet sheetId="5" name="F5" state="visible" r:id="rId8"/>
    <sheet sheetId="6" name="F6" state="visible" r:id="rId9"/>
    <sheet sheetId="7" name="F7" state="visible" r:id="rId10"/>
    <sheet sheetId="8" name="F8" state="visible" r:id="rId11"/>
    <sheet sheetId="9" name="TEMPLATE" state="visible" r:id="rId12"/>
  </sheets>
  <calcPr calcId="171027"/>
</workbook>
</file>

<file path=xl/sharedStrings.xml><?xml version="1.0" encoding="utf-8"?>
<sst xmlns="http://schemas.openxmlformats.org/spreadsheetml/2006/main" count="910" uniqueCount="143">
  <si>
    <t>HOPPERS — Torneo Star Córdoba 2026</t>
  </si>
  <si>
    <t>Fecha 1  ·  2026-03-14</t>
  </si>
  <si>
    <t>vs  INDEPENDENCIA</t>
  </si>
  <si>
    <t>✘ DERROTA    Hoppers 28  —  68  Independencia</t>
  </si>
  <si>
    <t>Parciales (Hoppers – Rival):   Q1: 6 – 21     Q2: 9 – 16     Q3: 6 – 16     Q4: 7 – 15</t>
  </si>
  <si>
    <t>🏀  HOPPERS</t>
  </si>
  <si>
    <t>#</t>
  </si>
  <si>
    <t>NOMBRE</t>
  </si>
  <si>
    <t>MIN</t>
  </si>
  <si>
    <t>SC</t>
  </si>
  <si>
    <t>SF</t>
  </si>
  <si>
    <t>DC</t>
  </si>
  <si>
    <t>DF</t>
  </si>
  <si>
    <t>TC</t>
  </si>
  <si>
    <t>TF</t>
  </si>
  <si>
    <t>AS</t>
  </si>
  <si>
    <t>RD</t>
  </si>
  <si>
    <t>RO</t>
  </si>
  <si>
    <t>FP</t>
  </si>
  <si>
    <t>FT</t>
  </si>
  <si>
    <t>FA</t>
  </si>
  <si>
    <t>TA</t>
  </si>
  <si>
    <t>PE</t>
  </si>
  <si>
    <t>CA</t>
  </si>
  <si>
    <t>PTS</t>
  </si>
  <si>
    <t>VAL</t>
  </si>
  <si>
    <t>Roldan</t>
  </si>
  <si>
    <t/>
  </si>
  <si>
    <t>Zito</t>
  </si>
  <si>
    <t>Vega</t>
  </si>
  <si>
    <t>Gugliemone</t>
  </si>
  <si>
    <t>Caldera</t>
  </si>
  <si>
    <t>Lachat</t>
  </si>
  <si>
    <t>Cabrera</t>
  </si>
  <si>
    <t>Bustos</t>
  </si>
  <si>
    <t>Aimar</t>
  </si>
  <si>
    <t>TOTALES</t>
  </si>
  <si>
    <t>Eficiencia Hoppers</t>
  </si>
  <si>
    <t>SC: 22%</t>
  </si>
  <si>
    <t>DC: 50%</t>
  </si>
  <si>
    <t>TC: 11%</t>
  </si>
  <si>
    <t>🏀  INDEPENDENCIA</t>
  </si>
  <si>
    <t>Q1</t>
  </si>
  <si>
    <t>Q2</t>
  </si>
  <si>
    <t>Q3</t>
  </si>
  <si>
    <t>Q4</t>
  </si>
  <si>
    <t>OT</t>
  </si>
  <si>
    <t>TOTAL</t>
  </si>
  <si>
    <t>SC%</t>
  </si>
  <si>
    <t>DC%</t>
  </si>
  <si>
    <t>TC%</t>
  </si>
  <si>
    <t>62%</t>
  </si>
  <si>
    <t>52%</t>
  </si>
  <si>
    <t>27%</t>
  </si>
  <si>
    <t>Nota: estadísticas individuales del rival no registradas en planilla.</t>
  </si>
  <si>
    <t>Fecha 2  ·  2026-03-21</t>
  </si>
  <si>
    <t>vs  JURASICOS</t>
  </si>
  <si>
    <t>✘ DERROTA    Hoppers 32  —  70  Jurasicos</t>
  </si>
  <si>
    <t>Parciales (Hoppers – Rival):   Q1: 4 – 27     Q2: 6 – 19     Q3: 9 – 10     Q4: 13 – 14</t>
  </si>
  <si>
    <t>Herrera</t>
  </si>
  <si>
    <t>Rosado</t>
  </si>
  <si>
    <t>Godoy</t>
  </si>
  <si>
    <t>Gonzalez</t>
  </si>
  <si>
    <t>Diaz</t>
  </si>
  <si>
    <t>Aguirre</t>
  </si>
  <si>
    <t>SC: 42%</t>
  </si>
  <si>
    <t>DC: 34%</t>
  </si>
  <si>
    <t>TC: 6%</t>
  </si>
  <si>
    <t>🏀  JURASICOS</t>
  </si>
  <si>
    <t>77%</t>
  </si>
  <si>
    <t>43%</t>
  </si>
  <si>
    <t>35%</t>
  </si>
  <si>
    <t>Fecha 3  ·  2026-03-28</t>
  </si>
  <si>
    <t>vs  LOS CHANGOS</t>
  </si>
  <si>
    <t>✘ DERROTA    Hoppers 31  —  34  Los Changos</t>
  </si>
  <si>
    <t>Parciales (Hoppers – Rival):   Q1: 3 – 7     Q2: 9 – 3     Q3: 10 – 18     Q4: 9 – 6</t>
  </si>
  <si>
    <t>Cazon</t>
  </si>
  <si>
    <t>Osses</t>
  </si>
  <si>
    <t>Radici</t>
  </si>
  <si>
    <t>SC: 60%</t>
  </si>
  <si>
    <t>DC: 35%</t>
  </si>
  <si>
    <t>TC: 23%</t>
  </si>
  <si>
    <t>🏀  LOS CHANGOS</t>
  </si>
  <si>
    <t>14%</t>
  </si>
  <si>
    <t>Fecha 4  ·  2026-04-11</t>
  </si>
  <si>
    <t>vs  DOBLE CUARTO</t>
  </si>
  <si>
    <t>✘ DERROTA    Hoppers 38  —  51  Doble Cuarto</t>
  </si>
  <si>
    <t>Parciales (Hoppers – Rival):   Q1: 12 – 17     Q2: 10 – 16     Q3: 9 – 6     Q4: 9 – 12</t>
  </si>
  <si>
    <t>SC: 53%</t>
  </si>
  <si>
    <t>DC: 44%</t>
  </si>
  <si>
    <t>TC: 12%</t>
  </si>
  <si>
    <t>🏀  DOBLE CUARTO</t>
  </si>
  <si>
    <t>45%</t>
  </si>
  <si>
    <t>39%</t>
  </si>
  <si>
    <t>19%</t>
  </si>
  <si>
    <t>Fecha 5  ·  2026-04-18</t>
  </si>
  <si>
    <t>vs  WALKERS</t>
  </si>
  <si>
    <t>✘ DERROTA    Hoppers 51  —  69  Walkers</t>
  </si>
  <si>
    <t>Parciales (Hoppers – Rival):   Q1: 18 – 22     Q2: 6 – 10     Q3: 7 – 15     Q4: 20 – 22</t>
  </si>
  <si>
    <t>SC: 38%</t>
  </si>
  <si>
    <t>DC: 55%</t>
  </si>
  <si>
    <t>TC: 31%</t>
  </si>
  <si>
    <t>🏀  WALKERS</t>
  </si>
  <si>
    <t>58%</t>
  </si>
  <si>
    <t>65%</t>
  </si>
  <si>
    <t>32%</t>
  </si>
  <si>
    <t>Fecha 6  ·  2026-04-26</t>
  </si>
  <si>
    <t>vs  INCAS</t>
  </si>
  <si>
    <t>✘ DERROTA    Hoppers 44  —  55  Incas</t>
  </si>
  <si>
    <t>Parciales (Hoppers – Rival):   Q1: 9 – 9     Q2: 7 – 12     Q3: 11 – 17     Q4: 17 – 17</t>
  </si>
  <si>
    <t>SC: 26%</t>
  </si>
  <si>
    <t>DC: 39%</t>
  </si>
  <si>
    <t>🏀  INCAS</t>
  </si>
  <si>
    <t>68%</t>
  </si>
  <si>
    <t>44%</t>
  </si>
  <si>
    <t>30%</t>
  </si>
  <si>
    <t>Fecha 7  ·  2026-05-09</t>
  </si>
  <si>
    <t>vs  DEAD COW</t>
  </si>
  <si>
    <t>✘ DERROTA    Hoppers 32  —  49  Dead Cow</t>
  </si>
  <si>
    <t>Parciales (Hoppers – Rival):   Q1: 16 – 10     Q2: 9 – 12     Q3: 2 – 8     Q4: 5 – 19</t>
  </si>
  <si>
    <t>SC: 33%</t>
  </si>
  <si>
    <t>DC: 32%</t>
  </si>
  <si>
    <t>TC: 26%</t>
  </si>
  <si>
    <t>🏀  DEAD COW</t>
  </si>
  <si>
    <t>17%</t>
  </si>
  <si>
    <t>Fecha 8  ·  2026-05-16</t>
  </si>
  <si>
    <t>vs  SOUTH BALLERS</t>
  </si>
  <si>
    <t>✘ DERROTA    Hoppers 46  —  56  South Ballers</t>
  </si>
  <si>
    <t>Parciales (Hoppers – Rival):   Q1: 23 – 19     Q2: 2 – 9     Q3: 5 – 14     Q4: 16 – 14</t>
  </si>
  <si>
    <t>Radicci</t>
  </si>
  <si>
    <t>DC: 41%</t>
  </si>
  <si>
    <t>TC: 22%</t>
  </si>
  <si>
    <t>🏀  SOUTH BALLERS</t>
  </si>
  <si>
    <t>57%</t>
  </si>
  <si>
    <t>50%</t>
  </si>
  <si>
    <t>Fecha N  ·  YYYY-MM-DD</t>
  </si>
  <si>
    <t>vs  RIVAL</t>
  </si>
  <si>
    <t>VICTORIA / DERROTA    Hoppers X  —  Y  Rival</t>
  </si>
  <si>
    <t>Parciales: Q1: — – —    Q2: — – —    Q3: — – —    Q4: — – —</t>
  </si>
  <si>
    <t>SC: —%</t>
  </si>
  <si>
    <t>DC: —%</t>
  </si>
  <si>
    <t>TC: —%</t>
  </si>
  <si>
    <t>🏀  RIVAL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</si>
</sst>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color rgb="FFDBEAFE"/>
      <sz val="11"/>
      <name val="Calibri"/>
    </font>
    <font>
      <b/>
      <color rgb="FFD97706"/>
      <sz val="13"/>
      <name val="Calibri"/>
    </font>
    <font>
      <b/>
      <color rgb="FFBE3A2A"/>
      <sz val="12"/>
      <name val="Calibri"/>
    </font>
    <font>
      <color rgb="FF64748B"/>
      <sz val="10"/>
      <name val="Calibri"/>
    </font>
    <font>
      <b/>
      <color rgb="FFFFFFFF"/>
      <sz val="12"/>
      <name val="Calibri"/>
    </font>
    <font>
      <b/>
      <color rgb="FFD97706"/>
      <sz val="10"/>
      <name val="Calibri"/>
    </font>
    <font>
      <color rgb="FF1E293B"/>
      <sz val="10"/>
      <name val="Calibri"/>
    </font>
    <font>
      <b/>
      <color rgb="FF1A5FB4"/>
      <sz val="9"/>
      <name val="Calibri"/>
    </font>
    <font>
      <color rgb="FF1E293B"/>
      <sz val="9"/>
      <name val="Calibri"/>
    </font>
    <font>
      <b/>
      <color rgb="FF0D1F38"/>
      <sz val="10"/>
      <name val="Calibri"/>
    </font>
    <font>
      <b/>
      <color rgb="FF1E293B"/>
      <sz val="10"/>
      <name val="Calibri"/>
    </font>
    <font>
      <color rgb="FF64748B"/>
      <sz val="9"/>
      <name val="Calibri"/>
    </font>
    <font>
      <b/>
      <color rgb="FF64748B"/>
      <sz val="12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D1F38"/>
      </patternFill>
    </fill>
    <fill>
      <patternFill patternType="solid">
        <fgColor rgb="FFBE3A2A22"/>
      </patternFill>
    </fill>
    <fill>
      <patternFill patternType="solid">
        <fgColor rgb="FFF1F5F9"/>
      </patternFill>
    </fill>
    <fill>
      <patternFill patternType="solid">
        <fgColor rgb="FF1A5FB4"/>
      </patternFill>
    </fill>
    <fill>
      <patternFill patternType="solid">
        <fgColor rgb="FFFFFFFF"/>
      </patternFill>
    </fill>
    <fill>
      <patternFill patternType="solid">
        <fgColor rgb="FFDBEAFE"/>
      </patternFill>
    </fill>
    <fill>
      <patternFill patternType="solid">
        <fgColor rgb="FF1E293B"/>
      </patternFill>
    </fill>
    <fill>
      <patternFill patternType="solid">
        <fgColor rgb="FFE2E8F0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0D1F38"/>
      </left>
      <right style="medium">
        <color rgb="FF0D1F38"/>
      </right>
      <top style="medium">
        <color rgb="FF0D1F38"/>
      </top>
      <bottom style="medium">
        <color rgb="FF0D1F3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left" vertical="center"/>
    </xf>
    <xf numFmtId="0" fontId="11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5FB4"/>
    <pageSetUpPr fitToPage="1"/>
  </sheetPr>
  <dimension ref="A1:T24"/>
  <sheetViews>
    <sheetView workbookViewId="0">
      <pane ySplit="8" topLeftCell="A9" activePane="bottomLeft" state="frozen"/>
      <selection pane="bottomLeft" activeCell="A9" sqref="A9"/>
    </sheetView>
  </sheetViews>
  <sheetFormatPr defaultRowHeight="15" outlineLevelRow="0" outlineLevelCol="0" x14ac:dyDescent="55"/>
  <cols>
    <col min="1" max="1" width="5" customWidth="1"/>
    <col min="2" max="2" width="14" customWidth="1"/>
    <col min="3" max="18" width="5" customWidth="1"/>
    <col min="19" max="20" width="6" customWidth="1"/>
  </cols>
  <sheetData>
    <row r="1" ht="22" customHeight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18" customHeight="1" spans="1:2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0" customHeight="1" spans="1:20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t="18" customHeight="1" spans="1:20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ht="16" customHeight="1" spans="1:20" x14ac:dyDescent="0.2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ht="8" customHeight="1" spans="1:20" x14ac:dyDescent="0.2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</row>
    <row r="7" ht="20" customHeight="1" spans="1:20" x14ac:dyDescent="0.25">
      <c r="A7" s="6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ht="16" customHeight="1" spans="1:20" x14ac:dyDescent="0.25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  <c r="H8" s="7" t="s">
        <v>13</v>
      </c>
      <c r="I8" s="7" t="s">
        <v>14</v>
      </c>
      <c r="J8" s="7" t="s">
        <v>15</v>
      </c>
      <c r="K8" s="7" t="s">
        <v>16</v>
      </c>
      <c r="L8" s="7" t="s">
        <v>17</v>
      </c>
      <c r="M8" s="7" t="s">
        <v>18</v>
      </c>
      <c r="N8" s="7" t="s">
        <v>19</v>
      </c>
      <c r="O8" s="7" t="s">
        <v>20</v>
      </c>
      <c r="P8" s="7" t="s">
        <v>21</v>
      </c>
      <c r="Q8" s="7" t="s">
        <v>22</v>
      </c>
      <c r="R8" s="7" t="s">
        <v>23</v>
      </c>
      <c r="S8" s="7" t="s">
        <v>24</v>
      </c>
      <c r="T8" s="7" t="s">
        <v>25</v>
      </c>
    </row>
    <row r="9" ht="15" customHeight="1" spans="1:20" x14ac:dyDescent="0.25">
      <c r="A9" s="8">
        <v>5</v>
      </c>
      <c r="B9" s="9" t="s">
        <v>26</v>
      </c>
      <c r="C9" s="8" t="s">
        <v>27</v>
      </c>
      <c r="D9" s="8">
        <v>0</v>
      </c>
      <c r="E9" s="8">
        <v>0</v>
      </c>
      <c r="F9" s="8">
        <v>1</v>
      </c>
      <c r="G9" s="8">
        <v>4</v>
      </c>
      <c r="H9" s="8">
        <v>0</v>
      </c>
      <c r="I9" s="8">
        <v>4</v>
      </c>
      <c r="J9" s="8">
        <v>0</v>
      </c>
      <c r="K9" s="8">
        <v>2</v>
      </c>
      <c r="L9" s="8">
        <v>0</v>
      </c>
      <c r="M9" s="8">
        <v>1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f>D9*1+F9*2+H9*3</f>
      </c>
      <c r="T9" s="8">
        <v>-9</v>
      </c>
    </row>
    <row r="10" ht="15" customHeight="1" spans="1:20" x14ac:dyDescent="0.25">
      <c r="A10" s="10">
        <v>14</v>
      </c>
      <c r="B10" s="11" t="s">
        <v>28</v>
      </c>
      <c r="C10" s="10" t="s">
        <v>27</v>
      </c>
      <c r="D10" s="10">
        <v>0</v>
      </c>
      <c r="E10" s="10">
        <v>0</v>
      </c>
      <c r="F10" s="10">
        <v>0</v>
      </c>
      <c r="G10" s="10">
        <v>2</v>
      </c>
      <c r="H10" s="10">
        <v>2</v>
      </c>
      <c r="I10" s="10">
        <v>0</v>
      </c>
      <c r="J10" s="10">
        <v>3</v>
      </c>
      <c r="K10" s="10">
        <v>0</v>
      </c>
      <c r="L10" s="10">
        <v>1</v>
      </c>
      <c r="M10" s="10">
        <v>0</v>
      </c>
      <c r="N10" s="10">
        <v>1</v>
      </c>
      <c r="O10" s="10">
        <v>0</v>
      </c>
      <c r="P10" s="10">
        <v>0</v>
      </c>
      <c r="Q10" s="10">
        <v>3</v>
      </c>
      <c r="R10" s="10">
        <v>1</v>
      </c>
      <c r="S10" s="10">
        <f>D10*1+F10*2+H10*3</f>
      </c>
      <c r="T10" s="10">
        <v>-10</v>
      </c>
    </row>
    <row r="11" ht="15" customHeight="1" spans="1:20" x14ac:dyDescent="0.25">
      <c r="A11" s="8">
        <v>12</v>
      </c>
      <c r="B11" s="9" t="s">
        <v>29</v>
      </c>
      <c r="C11" s="8" t="s">
        <v>27</v>
      </c>
      <c r="D11" s="8">
        <v>0</v>
      </c>
      <c r="E11" s="8">
        <v>2</v>
      </c>
      <c r="F11" s="8">
        <v>0</v>
      </c>
      <c r="G11" s="8">
        <v>3</v>
      </c>
      <c r="H11" s="8">
        <v>0</v>
      </c>
      <c r="I11" s="8">
        <v>0</v>
      </c>
      <c r="J11" s="8">
        <v>4</v>
      </c>
      <c r="K11" s="8">
        <v>1</v>
      </c>
      <c r="L11" s="8">
        <v>3</v>
      </c>
      <c r="M11" s="8">
        <v>0</v>
      </c>
      <c r="N11" s="8">
        <v>0</v>
      </c>
      <c r="O11" s="8">
        <v>0</v>
      </c>
      <c r="P11" s="8">
        <v>0</v>
      </c>
      <c r="Q11" s="8">
        <v>1</v>
      </c>
      <c r="R11" s="8">
        <v>0</v>
      </c>
      <c r="S11" s="8">
        <f>D11*1+F11*2+H11*3</f>
      </c>
      <c r="T11" s="8">
        <v>-1</v>
      </c>
    </row>
    <row r="12" ht="15" customHeight="1" spans="1:20" x14ac:dyDescent="0.25">
      <c r="A12" s="10">
        <v>6</v>
      </c>
      <c r="B12" s="11" t="s">
        <v>30</v>
      </c>
      <c r="C12" s="10" t="s">
        <v>27</v>
      </c>
      <c r="D12" s="10">
        <v>0</v>
      </c>
      <c r="E12" s="10">
        <v>4</v>
      </c>
      <c r="F12" s="10">
        <v>2</v>
      </c>
      <c r="G12" s="10">
        <v>5</v>
      </c>
      <c r="H12" s="10">
        <v>0</v>
      </c>
      <c r="I12" s="10">
        <v>0</v>
      </c>
      <c r="J12" s="10">
        <v>2</v>
      </c>
      <c r="K12" s="10">
        <v>7</v>
      </c>
      <c r="L12" s="10">
        <v>5</v>
      </c>
      <c r="M12" s="10">
        <v>1</v>
      </c>
      <c r="N12" s="10">
        <v>0</v>
      </c>
      <c r="O12" s="10">
        <v>0</v>
      </c>
      <c r="P12" s="10">
        <v>0</v>
      </c>
      <c r="Q12" s="10">
        <v>1</v>
      </c>
      <c r="R12" s="10">
        <v>0</v>
      </c>
      <c r="S12" s="10">
        <f>D12*1+F12*2+H12*3</f>
      </c>
      <c r="T12" s="10">
        <v>-2</v>
      </c>
    </row>
    <row r="13" ht="15" customHeight="1" spans="1:20" x14ac:dyDescent="0.25">
      <c r="A13" s="8">
        <v>9</v>
      </c>
      <c r="B13" s="9" t="s">
        <v>31</v>
      </c>
      <c r="C13" s="8" t="s">
        <v>27</v>
      </c>
      <c r="D13" s="8">
        <v>2</v>
      </c>
      <c r="E13" s="8">
        <v>1</v>
      </c>
      <c r="F13" s="8">
        <v>6</v>
      </c>
      <c r="G13" s="8">
        <v>0</v>
      </c>
      <c r="H13" s="8">
        <v>0</v>
      </c>
      <c r="I13" s="8">
        <v>0</v>
      </c>
      <c r="J13" s="8">
        <v>7</v>
      </c>
      <c r="K13" s="8">
        <v>2</v>
      </c>
      <c r="L13" s="8">
        <v>1</v>
      </c>
      <c r="M13" s="8">
        <v>0</v>
      </c>
      <c r="N13" s="8">
        <v>1</v>
      </c>
      <c r="O13" s="8">
        <v>0</v>
      </c>
      <c r="P13" s="8">
        <v>0</v>
      </c>
      <c r="Q13" s="8">
        <v>0</v>
      </c>
      <c r="R13" s="8">
        <v>0</v>
      </c>
      <c r="S13" s="8">
        <f>D13*1+F13*2+H13*3</f>
      </c>
      <c r="T13" s="8">
        <v>11</v>
      </c>
    </row>
    <row r="14" ht="15" customHeight="1" spans="1:20" x14ac:dyDescent="0.25">
      <c r="A14" s="10">
        <v>24</v>
      </c>
      <c r="B14" s="11" t="s">
        <v>32</v>
      </c>
      <c r="C14" s="10" t="s">
        <v>27</v>
      </c>
      <c r="D14" s="10">
        <v>0</v>
      </c>
      <c r="E14" s="10">
        <v>0</v>
      </c>
      <c r="F14" s="10">
        <v>1</v>
      </c>
      <c r="G14" s="10">
        <v>3</v>
      </c>
      <c r="H14" s="10">
        <v>0</v>
      </c>
      <c r="I14" s="10">
        <v>1</v>
      </c>
      <c r="J14" s="10">
        <v>0</v>
      </c>
      <c r="K14" s="10">
        <v>2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f>D14*1+F14*2+H14*3</f>
      </c>
      <c r="T14" s="10">
        <v>0</v>
      </c>
    </row>
    <row r="15" ht="15" customHeight="1" spans="1:20" x14ac:dyDescent="0.25">
      <c r="A15" s="8">
        <v>21</v>
      </c>
      <c r="B15" s="9" t="s">
        <v>33</v>
      </c>
      <c r="C15" s="8" t="s">
        <v>27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3</v>
      </c>
      <c r="K15" s="8">
        <v>0</v>
      </c>
      <c r="L15" s="8">
        <v>2</v>
      </c>
      <c r="M15" s="8">
        <v>0</v>
      </c>
      <c r="N15" s="8">
        <v>0</v>
      </c>
      <c r="O15" s="8">
        <v>0</v>
      </c>
      <c r="P15" s="8">
        <v>0</v>
      </c>
      <c r="Q15" s="8">
        <v>1</v>
      </c>
      <c r="R15" s="8">
        <v>0</v>
      </c>
      <c r="S15" s="8">
        <f>D15*1+F15*2+H15*3</f>
      </c>
      <c r="T15" s="8">
        <v>1</v>
      </c>
    </row>
    <row r="16" ht="15" customHeight="1" spans="1:20" x14ac:dyDescent="0.25">
      <c r="A16" s="10">
        <v>15</v>
      </c>
      <c r="B16" s="11" t="s">
        <v>34</v>
      </c>
      <c r="C16" s="10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1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f>D16*1+F16*2+H16*3</f>
      </c>
      <c r="T16" s="10">
        <v>-2</v>
      </c>
    </row>
    <row r="17" ht="15" customHeight="1" spans="1:20" x14ac:dyDescent="0.25">
      <c r="A17" s="8">
        <v>0</v>
      </c>
      <c r="B17" s="9" t="s">
        <v>35</v>
      </c>
      <c r="C17" s="8" t="s">
        <v>27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f>D17*1+F17*2+H17*3</f>
      </c>
      <c r="T17" s="8">
        <v>0</v>
      </c>
    </row>
    <row r="18" ht="16" customHeight="1" spans="1:20" x14ac:dyDescent="0.25">
      <c r="A18" s="12" t="s">
        <v>27</v>
      </c>
      <c r="B18" s="13" t="s">
        <v>36</v>
      </c>
      <c r="C18" s="12" t="s">
        <v>27</v>
      </c>
      <c r="D18" s="12">
        <f>SUM(D9:D17)</f>
      </c>
      <c r="E18" s="12">
        <f>SUM(E9:E17)</f>
      </c>
      <c r="F18" s="12">
        <f>SUM(F9:F17)</f>
      </c>
      <c r="G18" s="12">
        <f>SUM(G9:G17)</f>
      </c>
      <c r="H18" s="12">
        <f>SUM(H9:H17)</f>
      </c>
      <c r="I18" s="12">
        <f>SUM(I9:I17)</f>
      </c>
      <c r="J18" s="12">
        <f>SUM(J9:J17)</f>
      </c>
      <c r="K18" s="12">
        <f>SUM(K9:K17)</f>
      </c>
      <c r="L18" s="12">
        <f>SUM(L9:L17)</f>
      </c>
      <c r="M18" s="12">
        <f>SUM(M9:M17)</f>
      </c>
      <c r="N18" s="12">
        <f>SUM(N9:N17)</f>
      </c>
      <c r="O18" s="12">
        <f>SUM(O9:O17)</f>
      </c>
      <c r="P18" s="12">
        <f>SUM(P9:P17)</f>
      </c>
      <c r="Q18" s="12">
        <f>SUM(Q9:Q17)</f>
      </c>
      <c r="R18" s="12">
        <f>SUM(R9:R17)</f>
      </c>
      <c r="S18" s="12">
        <f>SUM(S9:S17)</f>
      </c>
      <c r="T18" s="12" t="s">
        <v>27</v>
      </c>
    </row>
    <row r="19" ht="14" customHeight="1" spans="1:20" x14ac:dyDescent="0.25">
      <c r="A19" s="14" t="s">
        <v>37</v>
      </c>
      <c r="B19" s="14"/>
      <c r="C19" s="14"/>
      <c r="D19" s="15" t="s">
        <v>38</v>
      </c>
      <c r="E19" s="15"/>
      <c r="F19" s="15" t="s">
        <v>39</v>
      </c>
      <c r="G19" s="15"/>
      <c r="H19" s="15" t="s">
        <v>40</v>
      </c>
      <c r="I19" s="15"/>
      <c r="K19"/>
      <c r="L19"/>
      <c r="M19"/>
      <c r="N19"/>
      <c r="O19"/>
      <c r="P19"/>
      <c r="Q19"/>
      <c r="R19"/>
      <c r="S19"/>
      <c r="T19"/>
    </row>
    <row r="20" ht="10" customHeight="1" spans="1:20" x14ac:dyDescent="0.25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</row>
    <row r="21" ht="20" customHeight="1" spans="1:20" x14ac:dyDescent="0.25">
      <c r="A21" s="16" t="s">
        <v>41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</row>
    <row r="22" ht="16" customHeight="1" spans="1:20" x14ac:dyDescent="0.25">
      <c r="A22" s="17" t="s">
        <v>42</v>
      </c>
      <c r="B22" s="17" t="s">
        <v>43</v>
      </c>
      <c r="C22" s="17" t="s">
        <v>44</v>
      </c>
      <c r="D22" s="17" t="s">
        <v>45</v>
      </c>
      <c r="E22" s="17" t="s">
        <v>46</v>
      </c>
      <c r="F22" s="17" t="s">
        <v>47</v>
      </c>
      <c r="G22" s="17" t="s">
        <v>48</v>
      </c>
      <c r="H22" s="17" t="s">
        <v>49</v>
      </c>
      <c r="I22" s="17" t="s">
        <v>50</v>
      </c>
      <c r="K22"/>
      <c r="L22"/>
      <c r="M22"/>
      <c r="N22"/>
      <c r="O22"/>
      <c r="P22"/>
      <c r="Q22"/>
      <c r="R22"/>
      <c r="S22"/>
      <c r="T22"/>
    </row>
    <row r="23" ht="15" customHeight="1" spans="1:20" x14ac:dyDescent="0.25">
      <c r="A23" s="8">
        <v>21</v>
      </c>
      <c r="B23" s="8">
        <v>16</v>
      </c>
      <c r="C23" s="8">
        <v>16</v>
      </c>
      <c r="D23" s="8">
        <v>15</v>
      </c>
      <c r="E23" s="8" t="s">
        <v>27</v>
      </c>
      <c r="F23" s="18">
        <v>68</v>
      </c>
      <c r="G23" s="8" t="s">
        <v>51</v>
      </c>
      <c r="H23" s="8" t="s">
        <v>52</v>
      </c>
      <c r="I23" s="8" t="s">
        <v>53</v>
      </c>
      <c r="K23"/>
      <c r="L23"/>
      <c r="M23"/>
      <c r="N23"/>
      <c r="O23"/>
      <c r="P23"/>
      <c r="Q23"/>
      <c r="R23"/>
      <c r="S23"/>
      <c r="T23"/>
    </row>
    <row r="24" ht="13" customHeight="1" spans="1:20" x14ac:dyDescent="0.25">
      <c r="A24" s="19" t="s">
        <v>54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</row>
  </sheetData>
  <mergeCells count="17">
    <mergeCell ref="A1:T1"/>
    <mergeCell ref="A2:T2"/>
    <mergeCell ref="A3:T3"/>
    <mergeCell ref="A4:T4"/>
    <mergeCell ref="A5:T5"/>
    <mergeCell ref="A6:T6"/>
    <mergeCell ref="A7:T7"/>
    <mergeCell ref="A19:C19"/>
    <mergeCell ref="D19:E19"/>
    <mergeCell ref="F19:G19"/>
    <mergeCell ref="H19:I19"/>
    <mergeCell ref="J19:T19"/>
    <mergeCell ref="A20:T20"/>
    <mergeCell ref="A21:T21"/>
    <mergeCell ref="J22:T22"/>
    <mergeCell ref="J23:T23"/>
    <mergeCell ref="A24:T24"/>
  </mergeCells>
  <pageSetup orientation="landscape" fitToWidth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5FB4"/>
    <pageSetUpPr fitToPage="1"/>
  </sheetPr>
  <dimension ref="A1:T26"/>
  <sheetViews>
    <sheetView workbookViewId="0">
      <pane ySplit="8" topLeftCell="A9" activePane="bottomLeft" state="frozen"/>
      <selection pane="bottomLeft" activeCell="A9" sqref="A9"/>
    </sheetView>
  </sheetViews>
  <sheetFormatPr defaultRowHeight="15" outlineLevelRow="0" outlineLevelCol="0" x14ac:dyDescent="55"/>
  <cols>
    <col min="1" max="1" width="5" customWidth="1"/>
    <col min="2" max="2" width="14" customWidth="1"/>
    <col min="3" max="18" width="5" customWidth="1"/>
    <col min="19" max="20" width="6" customWidth="1"/>
  </cols>
  <sheetData>
    <row r="1" ht="22" customHeight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18" customHeight="1" spans="1:20" x14ac:dyDescent="0.25">
      <c r="A2" s="2" t="s">
        <v>55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0" customHeight="1" spans="1:20" x14ac:dyDescent="0.25">
      <c r="A3" s="3" t="s">
        <v>56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t="18" customHeight="1" spans="1:20" x14ac:dyDescent="0.25">
      <c r="A4" s="4" t="s">
        <v>57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ht="16" customHeight="1" spans="1:20" x14ac:dyDescent="0.25">
      <c r="A5" s="5" t="s">
        <v>58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ht="8" customHeight="1" spans="1:20" x14ac:dyDescent="0.2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</row>
    <row r="7" ht="20" customHeight="1" spans="1:20" x14ac:dyDescent="0.25">
      <c r="A7" s="6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ht="16" customHeight="1" spans="1:20" x14ac:dyDescent="0.25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  <c r="H8" s="7" t="s">
        <v>13</v>
      </c>
      <c r="I8" s="7" t="s">
        <v>14</v>
      </c>
      <c r="J8" s="7" t="s">
        <v>15</v>
      </c>
      <c r="K8" s="7" t="s">
        <v>16</v>
      </c>
      <c r="L8" s="7" t="s">
        <v>17</v>
      </c>
      <c r="M8" s="7" t="s">
        <v>18</v>
      </c>
      <c r="N8" s="7" t="s">
        <v>19</v>
      </c>
      <c r="O8" s="7" t="s">
        <v>20</v>
      </c>
      <c r="P8" s="7" t="s">
        <v>21</v>
      </c>
      <c r="Q8" s="7" t="s">
        <v>22</v>
      </c>
      <c r="R8" s="7" t="s">
        <v>23</v>
      </c>
      <c r="S8" s="7" t="s">
        <v>24</v>
      </c>
      <c r="T8" s="7" t="s">
        <v>25</v>
      </c>
    </row>
    <row r="9" ht="15" customHeight="1" spans="1:20" x14ac:dyDescent="0.25">
      <c r="A9" s="8">
        <v>5</v>
      </c>
      <c r="B9" s="9" t="s">
        <v>59</v>
      </c>
      <c r="C9" s="8" t="s">
        <v>27</v>
      </c>
      <c r="D9" s="8">
        <v>0</v>
      </c>
      <c r="E9" s="8">
        <v>0</v>
      </c>
      <c r="F9" s="8">
        <v>2</v>
      </c>
      <c r="G9" s="8">
        <v>2</v>
      </c>
      <c r="H9" s="8">
        <v>0</v>
      </c>
      <c r="I9" s="8">
        <v>3</v>
      </c>
      <c r="J9" s="8">
        <v>0</v>
      </c>
      <c r="K9" s="8">
        <v>3</v>
      </c>
      <c r="L9" s="8">
        <v>1</v>
      </c>
      <c r="M9" s="8">
        <v>5</v>
      </c>
      <c r="N9" s="8">
        <v>0</v>
      </c>
      <c r="O9" s="8">
        <v>0</v>
      </c>
      <c r="P9" s="8">
        <v>1</v>
      </c>
      <c r="Q9" s="8">
        <v>0</v>
      </c>
      <c r="R9" s="8">
        <v>1</v>
      </c>
      <c r="S9" s="8">
        <f>D9*1+F9*2+H9*3</f>
      </c>
      <c r="T9" s="8">
        <v>3</v>
      </c>
    </row>
    <row r="10" ht="15" customHeight="1" spans="1:20" x14ac:dyDescent="0.25">
      <c r="A10" s="10">
        <v>9</v>
      </c>
      <c r="B10" s="11" t="s">
        <v>31</v>
      </c>
      <c r="C10" s="10" t="s">
        <v>27</v>
      </c>
      <c r="D10" s="10">
        <v>1</v>
      </c>
      <c r="E10" s="10">
        <v>3</v>
      </c>
      <c r="F10" s="10">
        <v>0</v>
      </c>
      <c r="G10" s="10">
        <v>3</v>
      </c>
      <c r="H10" s="10">
        <v>0</v>
      </c>
      <c r="I10" s="10">
        <v>1</v>
      </c>
      <c r="J10" s="10">
        <v>1</v>
      </c>
      <c r="K10" s="10">
        <v>1</v>
      </c>
      <c r="L10" s="10">
        <v>0</v>
      </c>
      <c r="M10" s="10">
        <v>3</v>
      </c>
      <c r="N10" s="10">
        <v>0</v>
      </c>
      <c r="O10" s="10">
        <v>0</v>
      </c>
      <c r="P10" s="10">
        <v>1</v>
      </c>
      <c r="Q10" s="10">
        <v>0</v>
      </c>
      <c r="R10" s="10">
        <v>0</v>
      </c>
      <c r="S10" s="10">
        <f>D10*1+F10*2+H10*3</f>
      </c>
      <c r="T10" s="10">
        <v>-3</v>
      </c>
    </row>
    <row r="11" ht="15" customHeight="1" spans="1:20" x14ac:dyDescent="0.25">
      <c r="A11" s="8">
        <v>6</v>
      </c>
      <c r="B11" s="9" t="s">
        <v>30</v>
      </c>
      <c r="C11" s="8" t="s">
        <v>27</v>
      </c>
      <c r="D11" s="8">
        <v>2</v>
      </c>
      <c r="E11" s="8">
        <v>0</v>
      </c>
      <c r="F11" s="8">
        <v>1</v>
      </c>
      <c r="G11" s="8">
        <v>1</v>
      </c>
      <c r="H11" s="8">
        <v>0</v>
      </c>
      <c r="I11" s="8">
        <v>1</v>
      </c>
      <c r="J11" s="8">
        <v>2</v>
      </c>
      <c r="K11" s="8">
        <v>1</v>
      </c>
      <c r="L11" s="8">
        <v>2</v>
      </c>
      <c r="M11" s="8">
        <v>1</v>
      </c>
      <c r="N11" s="8">
        <v>0</v>
      </c>
      <c r="O11" s="8">
        <v>0</v>
      </c>
      <c r="P11" s="8">
        <v>0</v>
      </c>
      <c r="Q11" s="8">
        <v>1</v>
      </c>
      <c r="R11" s="8">
        <v>0</v>
      </c>
      <c r="S11" s="8">
        <f>D11*1+F11*2+H11*3</f>
      </c>
      <c r="T11" s="8">
        <v>7</v>
      </c>
    </row>
    <row r="12" ht="15" customHeight="1" spans="1:20" x14ac:dyDescent="0.25">
      <c r="A12" s="10">
        <v>10</v>
      </c>
      <c r="B12" s="11" t="s">
        <v>60</v>
      </c>
      <c r="C12" s="10" t="s">
        <v>27</v>
      </c>
      <c r="D12" s="10">
        <v>0</v>
      </c>
      <c r="E12" s="10">
        <v>0</v>
      </c>
      <c r="F12" s="10">
        <v>1</v>
      </c>
      <c r="G12" s="10">
        <v>2</v>
      </c>
      <c r="H12" s="10">
        <v>0</v>
      </c>
      <c r="I12" s="10">
        <v>0</v>
      </c>
      <c r="J12" s="10">
        <v>2</v>
      </c>
      <c r="K12" s="10">
        <v>1</v>
      </c>
      <c r="L12" s="10">
        <v>1</v>
      </c>
      <c r="M12" s="10">
        <v>2</v>
      </c>
      <c r="N12" s="10">
        <v>0</v>
      </c>
      <c r="O12" s="10">
        <v>0</v>
      </c>
      <c r="P12" s="10">
        <v>1</v>
      </c>
      <c r="Q12" s="10">
        <v>0</v>
      </c>
      <c r="R12" s="10">
        <v>0</v>
      </c>
      <c r="S12" s="10">
        <f>D12*1+F12*2+H12*3</f>
      </c>
      <c r="T12" s="10">
        <v>2</v>
      </c>
    </row>
    <row r="13" ht="15" customHeight="1" spans="1:20" x14ac:dyDescent="0.25">
      <c r="A13" s="8">
        <v>14</v>
      </c>
      <c r="B13" s="9" t="s">
        <v>28</v>
      </c>
      <c r="C13" s="8" t="s">
        <v>27</v>
      </c>
      <c r="D13" s="8">
        <v>0</v>
      </c>
      <c r="E13" s="8">
        <v>0</v>
      </c>
      <c r="F13" s="8">
        <v>0</v>
      </c>
      <c r="G13" s="8">
        <v>1</v>
      </c>
      <c r="H13" s="8">
        <v>0</v>
      </c>
      <c r="I13" s="8">
        <v>2</v>
      </c>
      <c r="J13" s="8">
        <v>1</v>
      </c>
      <c r="K13" s="8">
        <v>1</v>
      </c>
      <c r="L13" s="8">
        <v>0</v>
      </c>
      <c r="M13" s="8">
        <v>2</v>
      </c>
      <c r="N13" s="8">
        <v>0</v>
      </c>
      <c r="O13" s="8">
        <v>0</v>
      </c>
      <c r="P13" s="8">
        <v>0</v>
      </c>
      <c r="Q13" s="8">
        <v>0</v>
      </c>
      <c r="R13" s="8">
        <v>1</v>
      </c>
      <c r="S13" s="8">
        <f>D13*1+F13*2+H13*3</f>
      </c>
      <c r="T13" s="8">
        <v>-1</v>
      </c>
    </row>
    <row r="14" ht="15" customHeight="1" spans="1:20" x14ac:dyDescent="0.25">
      <c r="A14" s="10">
        <v>24</v>
      </c>
      <c r="B14" s="11" t="s">
        <v>32</v>
      </c>
      <c r="C14" s="10" t="s">
        <v>27</v>
      </c>
      <c r="D14" s="10">
        <v>2</v>
      </c>
      <c r="E14" s="10">
        <v>2</v>
      </c>
      <c r="F14" s="10">
        <v>2</v>
      </c>
      <c r="G14" s="10">
        <v>1</v>
      </c>
      <c r="H14" s="10">
        <v>0</v>
      </c>
      <c r="I14" s="10">
        <v>1</v>
      </c>
      <c r="J14" s="10">
        <v>1</v>
      </c>
      <c r="K14" s="10">
        <v>1</v>
      </c>
      <c r="L14" s="10">
        <v>0</v>
      </c>
      <c r="M14" s="10">
        <v>1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f>D14*1+F14*2+H14*3</f>
      </c>
      <c r="T14" s="10">
        <v>3</v>
      </c>
    </row>
    <row r="15" ht="15" customHeight="1" spans="1:20" x14ac:dyDescent="0.25">
      <c r="A15" s="8">
        <v>21</v>
      </c>
      <c r="B15" s="9" t="s">
        <v>33</v>
      </c>
      <c r="C15" s="8" t="s">
        <v>27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1</v>
      </c>
      <c r="J15" s="8">
        <v>0</v>
      </c>
      <c r="K15" s="8">
        <v>1</v>
      </c>
      <c r="L15" s="8">
        <v>1</v>
      </c>
      <c r="M15" s="8">
        <v>1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f>D15*1+F15*2+H15*3</f>
      </c>
      <c r="T15" s="8">
        <v>1</v>
      </c>
    </row>
    <row r="16" ht="15" customHeight="1" spans="1:20" x14ac:dyDescent="0.25">
      <c r="A16" s="10">
        <v>15</v>
      </c>
      <c r="B16" s="11" t="s">
        <v>61</v>
      </c>
      <c r="C16" s="10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2</v>
      </c>
      <c r="L16" s="10">
        <v>0</v>
      </c>
      <c r="M16" s="10">
        <v>1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f>D16*1+F16*2+H16*3</f>
      </c>
      <c r="T16" s="10">
        <v>0</v>
      </c>
    </row>
    <row r="17" ht="15" customHeight="1" spans="1:20" x14ac:dyDescent="0.25">
      <c r="A17" s="8">
        <v>12</v>
      </c>
      <c r="B17" s="9" t="s">
        <v>62</v>
      </c>
      <c r="C17" s="8" t="s">
        <v>27</v>
      </c>
      <c r="D17" s="8">
        <v>0</v>
      </c>
      <c r="E17" s="8">
        <v>2</v>
      </c>
      <c r="F17" s="8">
        <v>1</v>
      </c>
      <c r="G17" s="8">
        <v>7</v>
      </c>
      <c r="H17" s="8">
        <v>1</v>
      </c>
      <c r="I17" s="8">
        <v>2</v>
      </c>
      <c r="J17" s="8">
        <v>1</v>
      </c>
      <c r="K17" s="8">
        <v>2</v>
      </c>
      <c r="L17" s="8">
        <v>1</v>
      </c>
      <c r="M17" s="8">
        <v>0</v>
      </c>
      <c r="N17" s="8">
        <v>0</v>
      </c>
      <c r="O17" s="8">
        <v>0</v>
      </c>
      <c r="P17" s="8">
        <v>3</v>
      </c>
      <c r="Q17" s="8">
        <v>0</v>
      </c>
      <c r="R17" s="8">
        <v>0</v>
      </c>
      <c r="S17" s="8">
        <f>D17*1+F17*2+H17*3</f>
      </c>
      <c r="T17" s="8">
        <v>-3</v>
      </c>
    </row>
    <row r="18" ht="15" customHeight="1" spans="1:20" x14ac:dyDescent="0.25">
      <c r="A18" s="10">
        <v>42</v>
      </c>
      <c r="B18" s="11" t="s">
        <v>63</v>
      </c>
      <c r="C18" s="10" t="s">
        <v>27</v>
      </c>
      <c r="D18" s="10">
        <v>0</v>
      </c>
      <c r="E18" s="10">
        <v>2</v>
      </c>
      <c r="F18" s="10">
        <v>2</v>
      </c>
      <c r="G18" s="10">
        <v>0</v>
      </c>
      <c r="H18" s="10">
        <v>0</v>
      </c>
      <c r="I18" s="10">
        <v>1</v>
      </c>
      <c r="J18" s="10">
        <v>3</v>
      </c>
      <c r="K18" s="10">
        <v>2</v>
      </c>
      <c r="L18" s="10">
        <v>2</v>
      </c>
      <c r="M18" s="10">
        <v>0</v>
      </c>
      <c r="N18" s="10">
        <v>0</v>
      </c>
      <c r="O18" s="10">
        <v>0</v>
      </c>
      <c r="P18" s="10">
        <v>3</v>
      </c>
      <c r="Q18" s="10">
        <v>0</v>
      </c>
      <c r="R18" s="10">
        <v>0</v>
      </c>
      <c r="S18" s="10">
        <f>D18*1+F18*2+H18*3</f>
      </c>
      <c r="T18" s="10">
        <v>10</v>
      </c>
    </row>
    <row r="19" ht="15" customHeight="1" spans="1:20" x14ac:dyDescent="0.25">
      <c r="A19" s="8">
        <v>2</v>
      </c>
      <c r="B19" s="9" t="s">
        <v>64</v>
      </c>
      <c r="C19" s="8" t="s">
        <v>27</v>
      </c>
      <c r="D19" s="8">
        <v>0</v>
      </c>
      <c r="E19" s="8">
        <v>0</v>
      </c>
      <c r="F19" s="8">
        <v>3</v>
      </c>
      <c r="G19" s="8">
        <v>5</v>
      </c>
      <c r="H19" s="8">
        <v>0</v>
      </c>
      <c r="I19" s="8">
        <v>0</v>
      </c>
      <c r="J19" s="8">
        <v>2</v>
      </c>
      <c r="K19" s="8">
        <v>4</v>
      </c>
      <c r="L19" s="8">
        <v>1</v>
      </c>
      <c r="M19" s="8">
        <v>1</v>
      </c>
      <c r="N19" s="8">
        <v>0</v>
      </c>
      <c r="O19" s="8">
        <v>0</v>
      </c>
      <c r="P19" s="8">
        <v>0</v>
      </c>
      <c r="Q19" s="8">
        <v>1</v>
      </c>
      <c r="R19" s="8">
        <v>0</v>
      </c>
      <c r="S19" s="8">
        <f>D19*1+F19*2+H19*3</f>
      </c>
      <c r="T19" s="8">
        <v>9</v>
      </c>
    </row>
    <row r="20" ht="16" customHeight="1" spans="1:20" x14ac:dyDescent="0.25">
      <c r="A20" s="12" t="s">
        <v>27</v>
      </c>
      <c r="B20" s="13" t="s">
        <v>36</v>
      </c>
      <c r="C20" s="12" t="s">
        <v>27</v>
      </c>
      <c r="D20" s="12">
        <f>SUM(D9:D19)</f>
      </c>
      <c r="E20" s="12">
        <f>SUM(E9:E19)</f>
      </c>
      <c r="F20" s="12">
        <f>SUM(F9:F19)</f>
      </c>
      <c r="G20" s="12">
        <f>SUM(G9:G19)</f>
      </c>
      <c r="H20" s="12">
        <f>SUM(H9:H19)</f>
      </c>
      <c r="I20" s="12">
        <f>SUM(I9:I19)</f>
      </c>
      <c r="J20" s="12">
        <f>SUM(J9:J19)</f>
      </c>
      <c r="K20" s="12">
        <f>SUM(K9:K19)</f>
      </c>
      <c r="L20" s="12">
        <f>SUM(L9:L19)</f>
      </c>
      <c r="M20" s="12">
        <f>SUM(M9:M19)</f>
      </c>
      <c r="N20" s="12">
        <f>SUM(N9:N19)</f>
      </c>
      <c r="O20" s="12">
        <f>SUM(O9:O19)</f>
      </c>
      <c r="P20" s="12">
        <f>SUM(P9:P19)</f>
      </c>
      <c r="Q20" s="12">
        <f>SUM(Q9:Q19)</f>
      </c>
      <c r="R20" s="12">
        <f>SUM(R9:R19)</f>
      </c>
      <c r="S20" s="12">
        <f>SUM(S9:S19)</f>
      </c>
      <c r="T20" s="12" t="s">
        <v>27</v>
      </c>
    </row>
    <row r="21" ht="14" customHeight="1" spans="1:20" x14ac:dyDescent="0.25">
      <c r="A21" s="14" t="s">
        <v>37</v>
      </c>
      <c r="B21" s="14"/>
      <c r="C21" s="14"/>
      <c r="D21" s="15" t="s">
        <v>65</v>
      </c>
      <c r="E21" s="15"/>
      <c r="F21" s="15" t="s">
        <v>66</v>
      </c>
      <c r="G21" s="15"/>
      <c r="H21" s="15" t="s">
        <v>67</v>
      </c>
      <c r="I21" s="15"/>
      <c r="K21"/>
      <c r="L21"/>
      <c r="M21"/>
      <c r="N21"/>
      <c r="O21"/>
      <c r="P21"/>
      <c r="Q21"/>
      <c r="R21"/>
      <c r="S21"/>
      <c r="T21"/>
    </row>
    <row r="22" ht="10" customHeight="1" spans="1:20" x14ac:dyDescent="0.25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ht="20" customHeight="1" spans="1:20" x14ac:dyDescent="0.25">
      <c r="A23" s="16" t="s">
        <v>68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</row>
    <row r="24" ht="16" customHeight="1" spans="1:20" x14ac:dyDescent="0.25">
      <c r="A24" s="17" t="s">
        <v>42</v>
      </c>
      <c r="B24" s="17" t="s">
        <v>43</v>
      </c>
      <c r="C24" s="17" t="s">
        <v>44</v>
      </c>
      <c r="D24" s="17" t="s">
        <v>45</v>
      </c>
      <c r="E24" s="17" t="s">
        <v>46</v>
      </c>
      <c r="F24" s="17" t="s">
        <v>47</v>
      </c>
      <c r="G24" s="17" t="s">
        <v>48</v>
      </c>
      <c r="H24" s="17" t="s">
        <v>49</v>
      </c>
      <c r="I24" s="17" t="s">
        <v>50</v>
      </c>
      <c r="K24"/>
      <c r="L24"/>
      <c r="M24"/>
      <c r="N24"/>
      <c r="O24"/>
      <c r="P24"/>
      <c r="Q24"/>
      <c r="R24"/>
      <c r="S24"/>
      <c r="T24"/>
    </row>
    <row r="25" ht="15" customHeight="1" spans="1:20" x14ac:dyDescent="0.25">
      <c r="A25" s="8">
        <v>27</v>
      </c>
      <c r="B25" s="8">
        <v>19</v>
      </c>
      <c r="C25" s="8">
        <v>10</v>
      </c>
      <c r="D25" s="8">
        <v>14</v>
      </c>
      <c r="E25" s="8" t="s">
        <v>27</v>
      </c>
      <c r="F25" s="18">
        <v>70</v>
      </c>
      <c r="G25" s="8" t="s">
        <v>69</v>
      </c>
      <c r="H25" s="8" t="s">
        <v>70</v>
      </c>
      <c r="I25" s="8" t="s">
        <v>71</v>
      </c>
      <c r="K25"/>
      <c r="L25"/>
      <c r="M25"/>
      <c r="N25"/>
      <c r="O25"/>
      <c r="P25"/>
      <c r="Q25"/>
      <c r="R25"/>
      <c r="S25"/>
      <c r="T25"/>
    </row>
    <row r="26" ht="13" customHeight="1" spans="1:20" x14ac:dyDescent="0.25">
      <c r="A26" s="19" t="s">
        <v>54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</row>
  </sheetData>
  <mergeCells count="17">
    <mergeCell ref="A1:T1"/>
    <mergeCell ref="A2:T2"/>
    <mergeCell ref="A3:T3"/>
    <mergeCell ref="A4:T4"/>
    <mergeCell ref="A5:T5"/>
    <mergeCell ref="A6:T6"/>
    <mergeCell ref="A7:T7"/>
    <mergeCell ref="A21:C21"/>
    <mergeCell ref="D21:E21"/>
    <mergeCell ref="F21:G21"/>
    <mergeCell ref="H21:I21"/>
    <mergeCell ref="J21:T21"/>
    <mergeCell ref="A22:T22"/>
    <mergeCell ref="A23:T23"/>
    <mergeCell ref="J24:T24"/>
    <mergeCell ref="J25:T25"/>
    <mergeCell ref="A26:T26"/>
  </mergeCells>
  <pageSetup orientation="landscape" fitToWidth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5FB4"/>
    <pageSetUpPr fitToPage="1"/>
  </sheetPr>
  <dimension ref="A1:T26"/>
  <sheetViews>
    <sheetView workbookViewId="0">
      <pane ySplit="8" topLeftCell="A9" activePane="bottomLeft" state="frozen"/>
      <selection pane="bottomLeft" activeCell="A9" sqref="A9"/>
    </sheetView>
  </sheetViews>
  <sheetFormatPr defaultRowHeight="15" outlineLevelRow="0" outlineLevelCol="0" x14ac:dyDescent="55"/>
  <cols>
    <col min="1" max="1" width="5" customWidth="1"/>
    <col min="2" max="2" width="14" customWidth="1"/>
    <col min="3" max="18" width="5" customWidth="1"/>
    <col min="19" max="20" width="6" customWidth="1"/>
  </cols>
  <sheetData>
    <row r="1" ht="22" customHeight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18" customHeight="1" spans="1:20" x14ac:dyDescent="0.25">
      <c r="A2" s="2" t="s">
        <v>72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0" customHeight="1" spans="1:20" x14ac:dyDescent="0.25">
      <c r="A3" s="3" t="s">
        <v>73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t="18" customHeight="1" spans="1:20" x14ac:dyDescent="0.25">
      <c r="A4" s="4" t="s">
        <v>74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ht="16" customHeight="1" spans="1:20" x14ac:dyDescent="0.25">
      <c r="A5" s="5" t="s">
        <v>75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ht="8" customHeight="1" spans="1:20" x14ac:dyDescent="0.2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</row>
    <row r="7" ht="20" customHeight="1" spans="1:20" x14ac:dyDescent="0.25">
      <c r="A7" s="6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ht="16" customHeight="1" spans="1:20" x14ac:dyDescent="0.25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  <c r="H8" s="7" t="s">
        <v>13</v>
      </c>
      <c r="I8" s="7" t="s">
        <v>14</v>
      </c>
      <c r="J8" s="7" t="s">
        <v>15</v>
      </c>
      <c r="K8" s="7" t="s">
        <v>16</v>
      </c>
      <c r="L8" s="7" t="s">
        <v>17</v>
      </c>
      <c r="M8" s="7" t="s">
        <v>18</v>
      </c>
      <c r="N8" s="7" t="s">
        <v>19</v>
      </c>
      <c r="O8" s="7" t="s">
        <v>20</v>
      </c>
      <c r="P8" s="7" t="s">
        <v>21</v>
      </c>
      <c r="Q8" s="7" t="s">
        <v>22</v>
      </c>
      <c r="R8" s="7" t="s">
        <v>23</v>
      </c>
      <c r="S8" s="7" t="s">
        <v>24</v>
      </c>
      <c r="T8" s="7" t="s">
        <v>25</v>
      </c>
    </row>
    <row r="9" ht="15" customHeight="1" spans="1:20" x14ac:dyDescent="0.25">
      <c r="A9" s="8">
        <v>5</v>
      </c>
      <c r="B9" s="9" t="s">
        <v>26</v>
      </c>
      <c r="C9" s="8" t="s">
        <v>27</v>
      </c>
      <c r="D9" s="8">
        <v>2</v>
      </c>
      <c r="E9" s="8">
        <v>0</v>
      </c>
      <c r="F9" s="8">
        <v>1</v>
      </c>
      <c r="G9" s="8">
        <v>3</v>
      </c>
      <c r="H9" s="8">
        <v>1</v>
      </c>
      <c r="I9" s="8">
        <v>4</v>
      </c>
      <c r="J9" s="8">
        <v>1</v>
      </c>
      <c r="K9" s="8">
        <v>6</v>
      </c>
      <c r="L9" s="8">
        <v>0</v>
      </c>
      <c r="M9" s="8">
        <v>5</v>
      </c>
      <c r="N9" s="8">
        <v>0</v>
      </c>
      <c r="O9" s="8">
        <v>1</v>
      </c>
      <c r="P9" s="8">
        <v>4</v>
      </c>
      <c r="Q9" s="8">
        <v>0</v>
      </c>
      <c r="R9" s="8">
        <v>1</v>
      </c>
      <c r="S9" s="8">
        <f>D9*1+F9*2+H9*3</f>
      </c>
      <c r="T9" s="8">
        <v>0</v>
      </c>
    </row>
    <row r="10" ht="15" customHeight="1" spans="1:20" x14ac:dyDescent="0.25">
      <c r="A10" s="10">
        <v>55</v>
      </c>
      <c r="B10" s="11" t="s">
        <v>59</v>
      </c>
      <c r="C10" s="10" t="s">
        <v>27</v>
      </c>
      <c r="D10" s="10">
        <v>1</v>
      </c>
      <c r="E10" s="10">
        <v>1</v>
      </c>
      <c r="F10" s="10">
        <v>0</v>
      </c>
      <c r="G10" s="10">
        <v>3</v>
      </c>
      <c r="H10" s="10">
        <v>0</v>
      </c>
      <c r="I10" s="10">
        <v>1</v>
      </c>
      <c r="J10" s="10">
        <v>0</v>
      </c>
      <c r="K10" s="10">
        <v>0</v>
      </c>
      <c r="L10" s="10">
        <v>1</v>
      </c>
      <c r="M10" s="10">
        <v>0</v>
      </c>
      <c r="N10" s="10">
        <v>0</v>
      </c>
      <c r="O10" s="10">
        <v>0</v>
      </c>
      <c r="P10" s="10">
        <v>0</v>
      </c>
      <c r="Q10" s="10">
        <v>1</v>
      </c>
      <c r="R10" s="10">
        <v>0</v>
      </c>
      <c r="S10" s="10">
        <f>D10*1+F10*2+H10*3</f>
      </c>
      <c r="T10" s="10">
        <v>-5</v>
      </c>
    </row>
    <row r="11" ht="15" customHeight="1" spans="1:20" x14ac:dyDescent="0.25">
      <c r="A11" s="8">
        <v>0</v>
      </c>
      <c r="B11" s="9" t="s">
        <v>76</v>
      </c>
      <c r="C11" s="8" t="s">
        <v>27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1</v>
      </c>
      <c r="J11" s="8">
        <v>1</v>
      </c>
      <c r="K11" s="8">
        <v>0</v>
      </c>
      <c r="L11" s="8">
        <v>0</v>
      </c>
      <c r="M11" s="8">
        <v>2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f>D11*1+F11*2+H11*3</f>
      </c>
      <c r="T11" s="8">
        <v>0</v>
      </c>
    </row>
    <row r="12" ht="15" customHeight="1" spans="1:20" x14ac:dyDescent="0.25">
      <c r="A12" s="10">
        <v>14</v>
      </c>
      <c r="B12" s="11" t="s">
        <v>28</v>
      </c>
      <c r="C12" s="10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1</v>
      </c>
      <c r="J12" s="10">
        <v>1</v>
      </c>
      <c r="K12" s="10">
        <v>1</v>
      </c>
      <c r="L12" s="10">
        <v>0</v>
      </c>
      <c r="M12" s="10">
        <v>1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f>D12*1+F12*2+H12*3</f>
      </c>
      <c r="T12" s="10">
        <v>0</v>
      </c>
    </row>
    <row r="13" ht="15" customHeight="1" spans="1:20" x14ac:dyDescent="0.25">
      <c r="A13" s="8">
        <v>24</v>
      </c>
      <c r="B13" s="9" t="s">
        <v>32</v>
      </c>
      <c r="C13" s="8" t="s">
        <v>27</v>
      </c>
      <c r="D13" s="8">
        <v>1</v>
      </c>
      <c r="E13" s="8">
        <v>2</v>
      </c>
      <c r="F13" s="8">
        <v>1</v>
      </c>
      <c r="G13" s="8">
        <v>2</v>
      </c>
      <c r="H13" s="8">
        <v>1</v>
      </c>
      <c r="I13" s="8">
        <v>0</v>
      </c>
      <c r="J13" s="8">
        <v>2</v>
      </c>
      <c r="K13" s="8">
        <v>0</v>
      </c>
      <c r="L13" s="8">
        <v>3</v>
      </c>
      <c r="M13" s="8">
        <v>1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f>D13*1+F13*2+H13*3</f>
      </c>
      <c r="T13" s="8">
        <v>-2</v>
      </c>
    </row>
    <row r="14" ht="15" customHeight="1" spans="1:20" x14ac:dyDescent="0.25">
      <c r="A14" s="10">
        <v>21</v>
      </c>
      <c r="B14" s="11" t="s">
        <v>33</v>
      </c>
      <c r="C14" s="10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f>D14*1+F14*2+H14*3</f>
      </c>
      <c r="T14" s="10">
        <v>0</v>
      </c>
    </row>
    <row r="15" ht="15" customHeight="1" spans="1:20" x14ac:dyDescent="0.25">
      <c r="A15" s="8">
        <v>15</v>
      </c>
      <c r="B15" s="9" t="s">
        <v>34</v>
      </c>
      <c r="C15" s="8" t="s">
        <v>27</v>
      </c>
      <c r="D15" s="8">
        <v>0</v>
      </c>
      <c r="E15" s="8">
        <v>0</v>
      </c>
      <c r="F15" s="8">
        <v>0</v>
      </c>
      <c r="G15" s="8">
        <v>1</v>
      </c>
      <c r="H15" s="8">
        <v>0</v>
      </c>
      <c r="I15" s="8">
        <v>0</v>
      </c>
      <c r="J15" s="8">
        <v>0</v>
      </c>
      <c r="K15" s="8">
        <v>4</v>
      </c>
      <c r="L15" s="8">
        <v>1</v>
      </c>
      <c r="M15" s="8">
        <v>2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f>D15*1+F15*2+H15*3</f>
      </c>
      <c r="T15" s="8">
        <v>2</v>
      </c>
    </row>
    <row r="16" ht="15" customHeight="1" spans="1:20" x14ac:dyDescent="0.25">
      <c r="A16" s="10">
        <v>12</v>
      </c>
      <c r="B16" s="11" t="s">
        <v>77</v>
      </c>
      <c r="C16" s="10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1</v>
      </c>
      <c r="J16" s="10">
        <v>0</v>
      </c>
      <c r="K16" s="10">
        <v>2</v>
      </c>
      <c r="L16" s="10">
        <v>0</v>
      </c>
      <c r="M16" s="10">
        <v>1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f>D16*1+F16*2+H16*3</f>
      </c>
      <c r="T16" s="10">
        <v>2</v>
      </c>
    </row>
    <row r="17" ht="15" customHeight="1" spans="1:20" x14ac:dyDescent="0.25">
      <c r="A17" s="8">
        <v>42</v>
      </c>
      <c r="B17" s="9" t="s">
        <v>63</v>
      </c>
      <c r="C17" s="8" t="s">
        <v>27</v>
      </c>
      <c r="D17" s="8">
        <v>2</v>
      </c>
      <c r="E17" s="8">
        <v>0</v>
      </c>
      <c r="F17" s="8">
        <v>1</v>
      </c>
      <c r="G17" s="8">
        <v>4</v>
      </c>
      <c r="H17" s="8">
        <v>1</v>
      </c>
      <c r="I17" s="8">
        <v>1</v>
      </c>
      <c r="J17" s="8">
        <v>0</v>
      </c>
      <c r="K17" s="8">
        <v>4</v>
      </c>
      <c r="L17" s="8">
        <v>1</v>
      </c>
      <c r="M17" s="8">
        <v>2</v>
      </c>
      <c r="N17" s="8">
        <v>0</v>
      </c>
      <c r="O17" s="8">
        <v>0</v>
      </c>
      <c r="P17" s="8">
        <v>0</v>
      </c>
      <c r="Q17" s="8">
        <v>3</v>
      </c>
      <c r="R17" s="8">
        <v>1</v>
      </c>
      <c r="S17" s="8">
        <f>D17*1+F17*2+H17*3</f>
      </c>
      <c r="T17" s="8">
        <v>9</v>
      </c>
    </row>
    <row r="18" ht="15" customHeight="1" spans="1:20" x14ac:dyDescent="0.25">
      <c r="A18" s="10">
        <v>6</v>
      </c>
      <c r="B18" s="11" t="s">
        <v>64</v>
      </c>
      <c r="C18" s="10" t="s">
        <v>27</v>
      </c>
      <c r="D18" s="10">
        <v>4</v>
      </c>
      <c r="E18" s="10">
        <v>3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1</v>
      </c>
      <c r="L18" s="10">
        <v>2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f>D18*1+F18*2+H18*3</f>
      </c>
      <c r="T18" s="10">
        <v>9</v>
      </c>
    </row>
    <row r="19" ht="15" customHeight="1" spans="1:20" x14ac:dyDescent="0.25">
      <c r="A19" s="8">
        <v>3</v>
      </c>
      <c r="B19" s="9" t="s">
        <v>78</v>
      </c>
      <c r="C19" s="8" t="s">
        <v>27</v>
      </c>
      <c r="D19" s="8">
        <v>0</v>
      </c>
      <c r="E19" s="8">
        <v>0</v>
      </c>
      <c r="F19" s="8">
        <v>1</v>
      </c>
      <c r="G19" s="8">
        <v>0</v>
      </c>
      <c r="H19" s="8">
        <v>0</v>
      </c>
      <c r="I19" s="8">
        <v>0</v>
      </c>
      <c r="J19" s="8">
        <v>1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1</v>
      </c>
      <c r="R19" s="8">
        <v>0</v>
      </c>
      <c r="S19" s="8">
        <f>D19*1+F19*2+H19*3</f>
      </c>
      <c r="T19" s="8">
        <v>2</v>
      </c>
    </row>
    <row r="20" ht="16" customHeight="1" spans="1:20" x14ac:dyDescent="0.25">
      <c r="A20" s="12" t="s">
        <v>27</v>
      </c>
      <c r="B20" s="13" t="s">
        <v>36</v>
      </c>
      <c r="C20" s="12" t="s">
        <v>27</v>
      </c>
      <c r="D20" s="12">
        <f>SUM(D9:D19)</f>
      </c>
      <c r="E20" s="12">
        <f>SUM(E9:E19)</f>
      </c>
      <c r="F20" s="12">
        <f>SUM(F9:F19)</f>
      </c>
      <c r="G20" s="12">
        <f>SUM(G9:G19)</f>
      </c>
      <c r="H20" s="12">
        <f>SUM(H9:H19)</f>
      </c>
      <c r="I20" s="12">
        <f>SUM(I9:I19)</f>
      </c>
      <c r="J20" s="12">
        <f>SUM(J9:J19)</f>
      </c>
      <c r="K20" s="12">
        <f>SUM(K9:K19)</f>
      </c>
      <c r="L20" s="12">
        <f>SUM(L9:L19)</f>
      </c>
      <c r="M20" s="12">
        <f>SUM(M9:M19)</f>
      </c>
      <c r="N20" s="12">
        <f>SUM(N9:N19)</f>
      </c>
      <c r="O20" s="12">
        <f>SUM(O9:O19)</f>
      </c>
      <c r="P20" s="12">
        <f>SUM(P9:P19)</f>
      </c>
      <c r="Q20" s="12">
        <f>SUM(Q9:Q19)</f>
      </c>
      <c r="R20" s="12">
        <f>SUM(R9:R19)</f>
      </c>
      <c r="S20" s="12">
        <f>SUM(S9:S19)</f>
      </c>
      <c r="T20" s="12" t="s">
        <v>27</v>
      </c>
    </row>
    <row r="21" ht="14" customHeight="1" spans="1:20" x14ac:dyDescent="0.25">
      <c r="A21" s="14" t="s">
        <v>37</v>
      </c>
      <c r="B21" s="14"/>
      <c r="C21" s="14"/>
      <c r="D21" s="15" t="s">
        <v>79</v>
      </c>
      <c r="E21" s="15"/>
      <c r="F21" s="15" t="s">
        <v>80</v>
      </c>
      <c r="G21" s="15"/>
      <c r="H21" s="15" t="s">
        <v>81</v>
      </c>
      <c r="I21" s="15"/>
      <c r="K21"/>
      <c r="L21"/>
      <c r="M21"/>
      <c r="N21"/>
      <c r="O21"/>
      <c r="P21"/>
      <c r="Q21"/>
      <c r="R21"/>
      <c r="S21"/>
      <c r="T21"/>
    </row>
    <row r="22" ht="10" customHeight="1" spans="1:20" x14ac:dyDescent="0.25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ht="20" customHeight="1" spans="1:20" x14ac:dyDescent="0.25">
      <c r="A23" s="16" t="s">
        <v>82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</row>
    <row r="24" ht="16" customHeight="1" spans="1:20" x14ac:dyDescent="0.25">
      <c r="A24" s="17" t="s">
        <v>42</v>
      </c>
      <c r="B24" s="17" t="s">
        <v>43</v>
      </c>
      <c r="C24" s="17" t="s">
        <v>44</v>
      </c>
      <c r="D24" s="17" t="s">
        <v>45</v>
      </c>
      <c r="E24" s="17" t="s">
        <v>46</v>
      </c>
      <c r="F24" s="17" t="s">
        <v>47</v>
      </c>
      <c r="G24" s="17" t="s">
        <v>48</v>
      </c>
      <c r="H24" s="17" t="s">
        <v>49</v>
      </c>
      <c r="I24" s="17" t="s">
        <v>50</v>
      </c>
      <c r="K24"/>
      <c r="L24"/>
      <c r="M24"/>
      <c r="N24"/>
      <c r="O24"/>
      <c r="P24"/>
      <c r="Q24"/>
      <c r="R24"/>
      <c r="S24"/>
      <c r="T24"/>
    </row>
    <row r="25" ht="15" customHeight="1" spans="1:20" x14ac:dyDescent="0.25">
      <c r="A25" s="8">
        <v>7</v>
      </c>
      <c r="B25" s="8">
        <v>3</v>
      </c>
      <c r="C25" s="8">
        <v>18</v>
      </c>
      <c r="D25" s="8">
        <v>6</v>
      </c>
      <c r="E25" s="8" t="s">
        <v>27</v>
      </c>
      <c r="F25" s="18">
        <v>34</v>
      </c>
      <c r="G25" s="8" t="s">
        <v>71</v>
      </c>
      <c r="H25" s="8" t="s">
        <v>53</v>
      </c>
      <c r="I25" s="8" t="s">
        <v>83</v>
      </c>
      <c r="K25"/>
      <c r="L25"/>
      <c r="M25"/>
      <c r="N25"/>
      <c r="O25"/>
      <c r="P25"/>
      <c r="Q25"/>
      <c r="R25"/>
      <c r="S25"/>
      <c r="T25"/>
    </row>
    <row r="26" ht="13" customHeight="1" spans="1:20" x14ac:dyDescent="0.25">
      <c r="A26" s="19" t="s">
        <v>54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</row>
  </sheetData>
  <mergeCells count="17">
    <mergeCell ref="A1:T1"/>
    <mergeCell ref="A2:T2"/>
    <mergeCell ref="A3:T3"/>
    <mergeCell ref="A4:T4"/>
    <mergeCell ref="A5:T5"/>
    <mergeCell ref="A6:T6"/>
    <mergeCell ref="A7:T7"/>
    <mergeCell ref="A21:C21"/>
    <mergeCell ref="D21:E21"/>
    <mergeCell ref="F21:G21"/>
    <mergeCell ref="H21:I21"/>
    <mergeCell ref="J21:T21"/>
    <mergeCell ref="A22:T22"/>
    <mergeCell ref="A23:T23"/>
    <mergeCell ref="J24:T24"/>
    <mergeCell ref="J25:T25"/>
    <mergeCell ref="A26:T26"/>
  </mergeCells>
  <pageSetup orientation="landscape" fitToWidth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5FB4"/>
    <pageSetUpPr fitToPage="1"/>
  </sheetPr>
  <dimension ref="A1:T27"/>
  <sheetViews>
    <sheetView workbookViewId="0">
      <pane ySplit="8" topLeftCell="A9" activePane="bottomLeft" state="frozen"/>
      <selection pane="bottomLeft" activeCell="A9" sqref="A9"/>
    </sheetView>
  </sheetViews>
  <sheetFormatPr defaultRowHeight="15" outlineLevelRow="0" outlineLevelCol="0" x14ac:dyDescent="55"/>
  <cols>
    <col min="1" max="1" width="5" customWidth="1"/>
    <col min="2" max="2" width="14" customWidth="1"/>
    <col min="3" max="18" width="5" customWidth="1"/>
    <col min="19" max="20" width="6" customWidth="1"/>
  </cols>
  <sheetData>
    <row r="1" ht="22" customHeight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18" customHeight="1" spans="1:20" x14ac:dyDescent="0.25">
      <c r="A2" s="2" t="s">
        <v>84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0" customHeight="1" spans="1:20" x14ac:dyDescent="0.25">
      <c r="A3" s="3" t="s">
        <v>85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t="18" customHeight="1" spans="1:20" x14ac:dyDescent="0.25">
      <c r="A4" s="4" t="s">
        <v>86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ht="16" customHeight="1" spans="1:20" x14ac:dyDescent="0.25">
      <c r="A5" s="5" t="s">
        <v>87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ht="8" customHeight="1" spans="1:20" x14ac:dyDescent="0.2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</row>
    <row r="7" ht="20" customHeight="1" spans="1:20" x14ac:dyDescent="0.25">
      <c r="A7" s="6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ht="16" customHeight="1" spans="1:20" x14ac:dyDescent="0.25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  <c r="H8" s="7" t="s">
        <v>13</v>
      </c>
      <c r="I8" s="7" t="s">
        <v>14</v>
      </c>
      <c r="J8" s="7" t="s">
        <v>15</v>
      </c>
      <c r="K8" s="7" t="s">
        <v>16</v>
      </c>
      <c r="L8" s="7" t="s">
        <v>17</v>
      </c>
      <c r="M8" s="7" t="s">
        <v>18</v>
      </c>
      <c r="N8" s="7" t="s">
        <v>19</v>
      </c>
      <c r="O8" s="7" t="s">
        <v>20</v>
      </c>
      <c r="P8" s="7" t="s">
        <v>21</v>
      </c>
      <c r="Q8" s="7" t="s">
        <v>22</v>
      </c>
      <c r="R8" s="7" t="s">
        <v>23</v>
      </c>
      <c r="S8" s="7" t="s">
        <v>24</v>
      </c>
      <c r="T8" s="7" t="s">
        <v>25</v>
      </c>
    </row>
    <row r="9" ht="15" customHeight="1" spans="1:20" x14ac:dyDescent="0.25">
      <c r="A9" s="8">
        <v>42</v>
      </c>
      <c r="B9" s="9" t="s">
        <v>62</v>
      </c>
      <c r="C9" s="8" t="s">
        <v>27</v>
      </c>
      <c r="D9" s="8">
        <v>1</v>
      </c>
      <c r="E9" s="8">
        <v>1</v>
      </c>
      <c r="F9" s="8">
        <v>3</v>
      </c>
      <c r="G9" s="8">
        <v>8</v>
      </c>
      <c r="H9" s="8">
        <v>0</v>
      </c>
      <c r="I9" s="8">
        <v>1</v>
      </c>
      <c r="J9" s="8">
        <v>1</v>
      </c>
      <c r="K9" s="8">
        <v>6</v>
      </c>
      <c r="L9" s="8">
        <v>1</v>
      </c>
      <c r="M9" s="8">
        <v>3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f>D9*1+F9*2+H9*3</f>
      </c>
      <c r="T9" s="8">
        <v>5</v>
      </c>
    </row>
    <row r="10" ht="15" customHeight="1" spans="1:20" x14ac:dyDescent="0.25">
      <c r="A10" s="10">
        <v>14</v>
      </c>
      <c r="B10" s="11" t="s">
        <v>28</v>
      </c>
      <c r="C10" s="10" t="s">
        <v>27</v>
      </c>
      <c r="D10" s="10">
        <v>0</v>
      </c>
      <c r="E10" s="10">
        <v>0</v>
      </c>
      <c r="F10" s="10">
        <v>0</v>
      </c>
      <c r="G10" s="10">
        <v>2</v>
      </c>
      <c r="H10" s="10">
        <v>0</v>
      </c>
      <c r="I10" s="10">
        <v>4</v>
      </c>
      <c r="J10" s="10">
        <v>1</v>
      </c>
      <c r="K10" s="10">
        <v>4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f>D10*1+F10*2+H10*3</f>
      </c>
      <c r="T10" s="10">
        <v>3</v>
      </c>
    </row>
    <row r="11" ht="15" customHeight="1" spans="1:20" x14ac:dyDescent="0.25">
      <c r="A11" s="8">
        <v>24</v>
      </c>
      <c r="B11" s="9" t="s">
        <v>32</v>
      </c>
      <c r="C11" s="8" t="s">
        <v>27</v>
      </c>
      <c r="D11" s="8">
        <v>0</v>
      </c>
      <c r="E11" s="8">
        <v>0</v>
      </c>
      <c r="F11" s="8">
        <v>0</v>
      </c>
      <c r="G11" s="8">
        <v>1</v>
      </c>
      <c r="H11" s="8">
        <v>1</v>
      </c>
      <c r="I11" s="8">
        <v>0</v>
      </c>
      <c r="J11" s="8">
        <v>0</v>
      </c>
      <c r="K11" s="8">
        <v>2</v>
      </c>
      <c r="L11" s="8">
        <v>0</v>
      </c>
      <c r="M11" s="8">
        <v>1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f>D11*1+F11*2+H11*3</f>
      </c>
      <c r="T11" s="8">
        <v>4</v>
      </c>
    </row>
    <row r="12" ht="15" customHeight="1" spans="1:20" x14ac:dyDescent="0.25">
      <c r="A12" s="10">
        <v>21</v>
      </c>
      <c r="B12" s="11" t="s">
        <v>33</v>
      </c>
      <c r="C12" s="10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1</v>
      </c>
      <c r="L12" s="10">
        <v>0</v>
      </c>
      <c r="M12" s="10">
        <v>1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f>D12*1+F12*2+H12*3</f>
      </c>
      <c r="T12" s="10">
        <v>1</v>
      </c>
    </row>
    <row r="13" ht="15" customHeight="1" spans="1:20" x14ac:dyDescent="0.25">
      <c r="A13" s="8">
        <v>15</v>
      </c>
      <c r="B13" s="9" t="s">
        <v>34</v>
      </c>
      <c r="C13" s="8" t="s">
        <v>27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1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f>D13*1+F13*2+H13*3</f>
      </c>
      <c r="T13" s="8">
        <v>0</v>
      </c>
    </row>
    <row r="14" ht="15" customHeight="1" spans="1:20" x14ac:dyDescent="0.25">
      <c r="A14" s="10">
        <v>9</v>
      </c>
      <c r="B14" s="11" t="s">
        <v>31</v>
      </c>
      <c r="C14" s="10" t="s">
        <v>27</v>
      </c>
      <c r="D14" s="10">
        <v>2</v>
      </c>
      <c r="E14" s="10">
        <v>5</v>
      </c>
      <c r="F14" s="10">
        <v>2</v>
      </c>
      <c r="G14" s="10">
        <v>2</v>
      </c>
      <c r="H14" s="10">
        <v>0</v>
      </c>
      <c r="I14" s="10">
        <v>3</v>
      </c>
      <c r="J14" s="10">
        <v>3</v>
      </c>
      <c r="K14" s="10">
        <v>6</v>
      </c>
      <c r="L14" s="10">
        <v>1</v>
      </c>
      <c r="M14" s="10">
        <v>5</v>
      </c>
      <c r="N14" s="10">
        <v>0</v>
      </c>
      <c r="O14" s="10">
        <v>0</v>
      </c>
      <c r="P14" s="10">
        <v>1</v>
      </c>
      <c r="Q14" s="10">
        <v>0</v>
      </c>
      <c r="R14" s="10">
        <v>2</v>
      </c>
      <c r="S14" s="10">
        <f>D14*1+F14*2+H14*3</f>
      </c>
      <c r="T14" s="10">
        <v>4</v>
      </c>
    </row>
    <row r="15" ht="15" customHeight="1" spans="1:20" x14ac:dyDescent="0.25">
      <c r="A15" s="8">
        <v>12</v>
      </c>
      <c r="B15" s="9" t="s">
        <v>63</v>
      </c>
      <c r="C15" s="8" t="s">
        <v>27</v>
      </c>
      <c r="D15" s="8">
        <v>3</v>
      </c>
      <c r="E15" s="8">
        <v>1</v>
      </c>
      <c r="F15" s="8">
        <v>1</v>
      </c>
      <c r="G15" s="8">
        <v>5</v>
      </c>
      <c r="H15" s="8">
        <v>0</v>
      </c>
      <c r="I15" s="8">
        <v>3</v>
      </c>
      <c r="J15" s="8">
        <v>1</v>
      </c>
      <c r="K15" s="8">
        <v>3</v>
      </c>
      <c r="L15" s="8">
        <v>1</v>
      </c>
      <c r="M15" s="8">
        <v>1</v>
      </c>
      <c r="N15" s="8">
        <v>0</v>
      </c>
      <c r="O15" s="8">
        <v>0</v>
      </c>
      <c r="P15" s="8">
        <v>0</v>
      </c>
      <c r="Q15" s="8">
        <v>1</v>
      </c>
      <c r="R15" s="8">
        <v>0</v>
      </c>
      <c r="S15" s="8">
        <f>D15*1+F15*2+H15*3</f>
      </c>
      <c r="T15" s="8">
        <v>6</v>
      </c>
    </row>
    <row r="16" ht="15" customHeight="1" spans="1:20" x14ac:dyDescent="0.25">
      <c r="A16" s="10">
        <v>21</v>
      </c>
      <c r="B16" s="11" t="s">
        <v>64</v>
      </c>
      <c r="C16" s="10" t="s">
        <v>27</v>
      </c>
      <c r="D16" s="10">
        <v>2</v>
      </c>
      <c r="E16" s="10">
        <v>0</v>
      </c>
      <c r="F16" s="10">
        <v>2</v>
      </c>
      <c r="G16" s="10">
        <v>0</v>
      </c>
      <c r="H16" s="10">
        <v>0</v>
      </c>
      <c r="I16" s="10">
        <v>0</v>
      </c>
      <c r="J16" s="10">
        <v>2</v>
      </c>
      <c r="K16" s="10">
        <v>0</v>
      </c>
      <c r="L16" s="10">
        <v>1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f>D16*1+F16*2+H16*3</f>
      </c>
      <c r="T16" s="10">
        <v>6</v>
      </c>
    </row>
    <row r="17" ht="15" customHeight="1" spans="1:20" x14ac:dyDescent="0.25">
      <c r="A17" s="8">
        <v>6</v>
      </c>
      <c r="B17" s="9" t="s">
        <v>30</v>
      </c>
      <c r="C17" s="8" t="s">
        <v>27</v>
      </c>
      <c r="D17" s="8">
        <v>0</v>
      </c>
      <c r="E17" s="8">
        <v>0</v>
      </c>
      <c r="F17" s="8">
        <v>1</v>
      </c>
      <c r="G17" s="8">
        <v>1</v>
      </c>
      <c r="H17" s="8">
        <v>0</v>
      </c>
      <c r="I17" s="8">
        <v>0</v>
      </c>
      <c r="J17" s="8">
        <v>4</v>
      </c>
      <c r="K17" s="8">
        <v>2</v>
      </c>
      <c r="L17" s="8">
        <v>2</v>
      </c>
      <c r="M17" s="8">
        <v>0</v>
      </c>
      <c r="N17" s="8">
        <v>0</v>
      </c>
      <c r="O17" s="8">
        <v>0</v>
      </c>
      <c r="P17" s="8">
        <v>1</v>
      </c>
      <c r="Q17" s="8">
        <v>0</v>
      </c>
      <c r="R17" s="8">
        <v>0</v>
      </c>
      <c r="S17" s="8">
        <f>D17*1+F17*2+H17*3</f>
      </c>
      <c r="T17" s="8">
        <v>8</v>
      </c>
    </row>
    <row r="18" ht="15" customHeight="1" spans="1:20" x14ac:dyDescent="0.25">
      <c r="A18" s="10">
        <v>70</v>
      </c>
      <c r="B18" s="11" t="s">
        <v>78</v>
      </c>
      <c r="C18" s="10" t="s">
        <v>27</v>
      </c>
      <c r="D18" s="10">
        <v>0</v>
      </c>
      <c r="E18" s="10">
        <v>0</v>
      </c>
      <c r="F18" s="10">
        <v>1</v>
      </c>
      <c r="G18" s="10">
        <v>0</v>
      </c>
      <c r="H18" s="10">
        <v>0</v>
      </c>
      <c r="I18" s="10">
        <v>1</v>
      </c>
      <c r="J18" s="10">
        <v>0</v>
      </c>
      <c r="K18" s="10">
        <v>1</v>
      </c>
      <c r="L18" s="10">
        <v>0</v>
      </c>
      <c r="M18" s="10">
        <v>1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f>D18*1+F18*2+H18*3</f>
      </c>
      <c r="T18" s="10">
        <v>2</v>
      </c>
    </row>
    <row r="19" ht="15" customHeight="1" spans="1:20" x14ac:dyDescent="0.25">
      <c r="A19" s="8">
        <v>0</v>
      </c>
      <c r="B19" s="9" t="s">
        <v>77</v>
      </c>
      <c r="C19" s="8" t="s">
        <v>27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f>D19*1+F19*2+H19*3</f>
      </c>
      <c r="T19" s="8">
        <v>0</v>
      </c>
    </row>
    <row r="20" ht="15" customHeight="1" spans="1:20" x14ac:dyDescent="0.25">
      <c r="A20" s="10">
        <v>22</v>
      </c>
      <c r="B20" s="11" t="s">
        <v>59</v>
      </c>
      <c r="C20" s="10" t="s">
        <v>27</v>
      </c>
      <c r="D20" s="10">
        <v>0</v>
      </c>
      <c r="E20" s="10">
        <v>0</v>
      </c>
      <c r="F20" s="10">
        <v>2</v>
      </c>
      <c r="G20" s="10">
        <v>1</v>
      </c>
      <c r="H20" s="10">
        <v>1</v>
      </c>
      <c r="I20" s="10">
        <v>3</v>
      </c>
      <c r="J20" s="10">
        <v>0</v>
      </c>
      <c r="K20" s="10">
        <v>3</v>
      </c>
      <c r="L20" s="10">
        <v>3</v>
      </c>
      <c r="M20" s="10">
        <v>0</v>
      </c>
      <c r="N20" s="10">
        <v>0</v>
      </c>
      <c r="O20" s="10">
        <v>0</v>
      </c>
      <c r="P20" s="10">
        <v>2</v>
      </c>
      <c r="Q20" s="10">
        <v>1</v>
      </c>
      <c r="R20" s="10">
        <v>0</v>
      </c>
      <c r="S20" s="10">
        <f>D20*1+F20*2+H20*3</f>
      </c>
      <c r="T20" s="10">
        <v>7</v>
      </c>
    </row>
    <row r="21" ht="16" customHeight="1" spans="1:20" x14ac:dyDescent="0.25">
      <c r="A21" s="12" t="s">
        <v>27</v>
      </c>
      <c r="B21" s="13" t="s">
        <v>36</v>
      </c>
      <c r="C21" s="12" t="s">
        <v>27</v>
      </c>
      <c r="D21" s="12">
        <f>SUM(D9:D20)</f>
      </c>
      <c r="E21" s="12">
        <f>SUM(E9:E20)</f>
      </c>
      <c r="F21" s="12">
        <f>SUM(F9:F20)</f>
      </c>
      <c r="G21" s="12">
        <f>SUM(G9:G20)</f>
      </c>
      <c r="H21" s="12">
        <f>SUM(H9:H20)</f>
      </c>
      <c r="I21" s="12">
        <f>SUM(I9:I20)</f>
      </c>
      <c r="J21" s="12">
        <f>SUM(J9:J20)</f>
      </c>
      <c r="K21" s="12">
        <f>SUM(K9:K20)</f>
      </c>
      <c r="L21" s="12">
        <f>SUM(L9:L20)</f>
      </c>
      <c r="M21" s="12">
        <f>SUM(M9:M20)</f>
      </c>
      <c r="N21" s="12">
        <f>SUM(N9:N20)</f>
      </c>
      <c r="O21" s="12">
        <f>SUM(O9:O20)</f>
      </c>
      <c r="P21" s="12">
        <f>SUM(P9:P20)</f>
      </c>
      <c r="Q21" s="12">
        <f>SUM(Q9:Q20)</f>
      </c>
      <c r="R21" s="12">
        <f>SUM(R9:R20)</f>
      </c>
      <c r="S21" s="12">
        <f>SUM(S9:S20)</f>
      </c>
      <c r="T21" s="12" t="s">
        <v>27</v>
      </c>
    </row>
    <row r="22" ht="14" customHeight="1" spans="1:20" x14ac:dyDescent="0.25">
      <c r="A22" s="14" t="s">
        <v>37</v>
      </c>
      <c r="B22" s="14"/>
      <c r="C22" s="14"/>
      <c r="D22" s="15" t="s">
        <v>88</v>
      </c>
      <c r="E22" s="15"/>
      <c r="F22" s="15" t="s">
        <v>89</v>
      </c>
      <c r="G22" s="15"/>
      <c r="H22" s="15" t="s">
        <v>90</v>
      </c>
      <c r="I22" s="15"/>
      <c r="K22"/>
      <c r="L22"/>
      <c r="M22"/>
      <c r="N22"/>
      <c r="O22"/>
      <c r="P22"/>
      <c r="Q22"/>
      <c r="R22"/>
      <c r="S22"/>
      <c r="T22"/>
    </row>
    <row r="23" ht="10" customHeight="1" spans="1:20" x14ac:dyDescent="0.25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ht="20" customHeight="1" spans="1:20" x14ac:dyDescent="0.25">
      <c r="A24" s="16" t="s">
        <v>91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</row>
    <row r="25" ht="16" customHeight="1" spans="1:20" x14ac:dyDescent="0.25">
      <c r="A25" s="17" t="s">
        <v>42</v>
      </c>
      <c r="B25" s="17" t="s">
        <v>43</v>
      </c>
      <c r="C25" s="17" t="s">
        <v>44</v>
      </c>
      <c r="D25" s="17" t="s">
        <v>45</v>
      </c>
      <c r="E25" s="17" t="s">
        <v>46</v>
      </c>
      <c r="F25" s="17" t="s">
        <v>47</v>
      </c>
      <c r="G25" s="17" t="s">
        <v>48</v>
      </c>
      <c r="H25" s="17" t="s">
        <v>49</v>
      </c>
      <c r="I25" s="17" t="s">
        <v>50</v>
      </c>
      <c r="K25"/>
      <c r="L25"/>
      <c r="M25"/>
      <c r="N25"/>
      <c r="O25"/>
      <c r="P25"/>
      <c r="Q25"/>
      <c r="R25"/>
      <c r="S25"/>
      <c r="T25"/>
    </row>
    <row r="26" ht="15" customHeight="1" spans="1:20" x14ac:dyDescent="0.25">
      <c r="A26" s="8">
        <v>17</v>
      </c>
      <c r="B26" s="8">
        <v>16</v>
      </c>
      <c r="C26" s="8">
        <v>6</v>
      </c>
      <c r="D26" s="8">
        <v>12</v>
      </c>
      <c r="E26" s="8" t="s">
        <v>27</v>
      </c>
      <c r="F26" s="18">
        <v>51</v>
      </c>
      <c r="G26" s="8" t="s">
        <v>92</v>
      </c>
      <c r="H26" s="8" t="s">
        <v>93</v>
      </c>
      <c r="I26" s="8" t="s">
        <v>94</v>
      </c>
      <c r="K26"/>
      <c r="L26"/>
      <c r="M26"/>
      <c r="N26"/>
      <c r="O26"/>
      <c r="P26"/>
      <c r="Q26"/>
      <c r="R26"/>
      <c r="S26"/>
      <c r="T26"/>
    </row>
    <row r="27" ht="13" customHeight="1" spans="1:20" x14ac:dyDescent="0.25">
      <c r="A27" s="19" t="s">
        <v>54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</sheetData>
  <mergeCells count="17">
    <mergeCell ref="A1:T1"/>
    <mergeCell ref="A2:T2"/>
    <mergeCell ref="A3:T3"/>
    <mergeCell ref="A4:T4"/>
    <mergeCell ref="A5:T5"/>
    <mergeCell ref="A6:T6"/>
    <mergeCell ref="A7:T7"/>
    <mergeCell ref="A22:C22"/>
    <mergeCell ref="D22:E22"/>
    <mergeCell ref="F22:G22"/>
    <mergeCell ref="H22:I22"/>
    <mergeCell ref="J22:T22"/>
    <mergeCell ref="A23:T23"/>
    <mergeCell ref="A24:T24"/>
    <mergeCell ref="J25:T25"/>
    <mergeCell ref="J26:T26"/>
    <mergeCell ref="A27:T27"/>
  </mergeCells>
  <pageSetup orientation="landscape" fitToWidth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5FB4"/>
    <pageSetUpPr fitToPage="1"/>
  </sheetPr>
  <dimension ref="A1:T26"/>
  <sheetViews>
    <sheetView workbookViewId="0">
      <pane ySplit="8" topLeftCell="A9" activePane="bottomLeft" state="frozen"/>
      <selection pane="bottomLeft" activeCell="A9" sqref="A9"/>
    </sheetView>
  </sheetViews>
  <sheetFormatPr defaultRowHeight="15" outlineLevelRow="0" outlineLevelCol="0" x14ac:dyDescent="55"/>
  <cols>
    <col min="1" max="1" width="5" customWidth="1"/>
    <col min="2" max="2" width="14" customWidth="1"/>
    <col min="3" max="18" width="5" customWidth="1"/>
    <col min="19" max="20" width="6" customWidth="1"/>
  </cols>
  <sheetData>
    <row r="1" ht="22" customHeight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18" customHeight="1" spans="1:20" x14ac:dyDescent="0.25">
      <c r="A2" s="2" t="s">
        <v>95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0" customHeight="1" spans="1:20" x14ac:dyDescent="0.25">
      <c r="A3" s="3" t="s">
        <v>96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t="18" customHeight="1" spans="1:20" x14ac:dyDescent="0.25">
      <c r="A4" s="4" t="s">
        <v>97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ht="16" customHeight="1" spans="1:20" x14ac:dyDescent="0.25">
      <c r="A5" s="5" t="s">
        <v>98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ht="8" customHeight="1" spans="1:20" x14ac:dyDescent="0.2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</row>
    <row r="7" ht="20" customHeight="1" spans="1:20" x14ac:dyDescent="0.25">
      <c r="A7" s="6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ht="16" customHeight="1" spans="1:20" x14ac:dyDescent="0.25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  <c r="H8" s="7" t="s">
        <v>13</v>
      </c>
      <c r="I8" s="7" t="s">
        <v>14</v>
      </c>
      <c r="J8" s="7" t="s">
        <v>15</v>
      </c>
      <c r="K8" s="7" t="s">
        <v>16</v>
      </c>
      <c r="L8" s="7" t="s">
        <v>17</v>
      </c>
      <c r="M8" s="7" t="s">
        <v>18</v>
      </c>
      <c r="N8" s="7" t="s">
        <v>19</v>
      </c>
      <c r="O8" s="7" t="s">
        <v>20</v>
      </c>
      <c r="P8" s="7" t="s">
        <v>21</v>
      </c>
      <c r="Q8" s="7" t="s">
        <v>22</v>
      </c>
      <c r="R8" s="7" t="s">
        <v>23</v>
      </c>
      <c r="S8" s="7" t="s">
        <v>24</v>
      </c>
      <c r="T8" s="7" t="s">
        <v>25</v>
      </c>
    </row>
    <row r="9" ht="15" customHeight="1" spans="1:20" x14ac:dyDescent="0.25">
      <c r="A9" s="8">
        <v>11</v>
      </c>
      <c r="B9" s="9" t="s">
        <v>63</v>
      </c>
      <c r="C9" s="8" t="s">
        <v>27</v>
      </c>
      <c r="D9" s="8">
        <v>0</v>
      </c>
      <c r="E9" s="8">
        <v>0</v>
      </c>
      <c r="F9" s="8">
        <v>3</v>
      </c>
      <c r="G9" s="8">
        <v>2</v>
      </c>
      <c r="H9" s="8">
        <v>0</v>
      </c>
      <c r="I9" s="8">
        <v>0</v>
      </c>
      <c r="J9" s="8">
        <v>1</v>
      </c>
      <c r="K9" s="8">
        <v>0</v>
      </c>
      <c r="L9" s="8">
        <v>2</v>
      </c>
      <c r="M9" s="8">
        <v>3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f>D9*1+F9*2+H9*3</f>
      </c>
      <c r="T9" s="8">
        <v>9</v>
      </c>
    </row>
    <row r="10" ht="15" customHeight="1" spans="1:20" x14ac:dyDescent="0.25">
      <c r="A10" s="10">
        <v>43</v>
      </c>
      <c r="B10" s="11" t="s">
        <v>62</v>
      </c>
      <c r="C10" s="10" t="s">
        <v>27</v>
      </c>
      <c r="D10" s="10">
        <v>0</v>
      </c>
      <c r="E10" s="10">
        <v>0</v>
      </c>
      <c r="F10" s="10">
        <v>7</v>
      </c>
      <c r="G10" s="10">
        <v>1</v>
      </c>
      <c r="H10" s="10">
        <v>1</v>
      </c>
      <c r="I10" s="10">
        <v>0</v>
      </c>
      <c r="J10" s="10">
        <v>2</v>
      </c>
      <c r="K10" s="10">
        <v>7</v>
      </c>
      <c r="L10" s="10">
        <v>0</v>
      </c>
      <c r="M10" s="10">
        <v>2</v>
      </c>
      <c r="N10" s="10">
        <v>0</v>
      </c>
      <c r="O10" s="10">
        <v>0</v>
      </c>
      <c r="P10" s="10">
        <v>0</v>
      </c>
      <c r="Q10" s="10">
        <v>1</v>
      </c>
      <c r="R10" s="10">
        <v>0</v>
      </c>
      <c r="S10" s="10">
        <f>D10*1+F10*2+H10*3</f>
      </c>
      <c r="T10" s="10">
        <v>24</v>
      </c>
    </row>
    <row r="11" ht="15" customHeight="1" spans="1:20" x14ac:dyDescent="0.25">
      <c r="A11" s="8">
        <v>22</v>
      </c>
      <c r="B11" s="9" t="s">
        <v>59</v>
      </c>
      <c r="C11" s="8" t="s">
        <v>27</v>
      </c>
      <c r="D11" s="8">
        <v>0</v>
      </c>
      <c r="E11" s="8">
        <v>0</v>
      </c>
      <c r="F11" s="8">
        <v>3</v>
      </c>
      <c r="G11" s="8">
        <v>2</v>
      </c>
      <c r="H11" s="8">
        <v>0</v>
      </c>
      <c r="I11" s="8">
        <v>2</v>
      </c>
      <c r="J11" s="8">
        <v>4</v>
      </c>
      <c r="K11" s="8">
        <v>0</v>
      </c>
      <c r="L11" s="8">
        <v>0</v>
      </c>
      <c r="M11" s="8">
        <v>2</v>
      </c>
      <c r="N11" s="8">
        <v>0</v>
      </c>
      <c r="O11" s="8">
        <v>0</v>
      </c>
      <c r="P11" s="8">
        <v>0</v>
      </c>
      <c r="Q11" s="8">
        <v>2</v>
      </c>
      <c r="R11" s="8">
        <v>0</v>
      </c>
      <c r="S11" s="8">
        <f>D11*1+F11*2+H11*3</f>
      </c>
      <c r="T11" s="8">
        <v>5</v>
      </c>
    </row>
    <row r="12" ht="15" customHeight="1" spans="1:20" x14ac:dyDescent="0.25">
      <c r="A12" s="10">
        <v>8</v>
      </c>
      <c r="B12" s="11" t="s">
        <v>31</v>
      </c>
      <c r="C12" s="10" t="s">
        <v>27</v>
      </c>
      <c r="D12" s="10">
        <v>4</v>
      </c>
      <c r="E12" s="10">
        <v>4</v>
      </c>
      <c r="F12" s="10">
        <v>0</v>
      </c>
      <c r="G12" s="10">
        <v>2</v>
      </c>
      <c r="H12" s="10">
        <v>0</v>
      </c>
      <c r="I12" s="10">
        <v>2</v>
      </c>
      <c r="J12" s="10">
        <v>3</v>
      </c>
      <c r="K12" s="10">
        <v>5</v>
      </c>
      <c r="L12" s="10">
        <v>0</v>
      </c>
      <c r="M12" s="10">
        <v>1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f>D12*1+F12*2+H12*3</f>
      </c>
      <c r="T12" s="10">
        <v>5</v>
      </c>
    </row>
    <row r="13" ht="15" customHeight="1" spans="1:20" x14ac:dyDescent="0.25">
      <c r="A13" s="8">
        <v>4</v>
      </c>
      <c r="B13" s="9" t="s">
        <v>30</v>
      </c>
      <c r="C13" s="8" t="s">
        <v>27</v>
      </c>
      <c r="D13" s="8">
        <v>1</v>
      </c>
      <c r="E13" s="8">
        <v>1</v>
      </c>
      <c r="F13" s="8">
        <v>1</v>
      </c>
      <c r="G13" s="8">
        <v>1</v>
      </c>
      <c r="H13" s="8">
        <v>1</v>
      </c>
      <c r="I13" s="8">
        <v>0</v>
      </c>
      <c r="J13" s="8">
        <v>0</v>
      </c>
      <c r="K13" s="8">
        <v>6</v>
      </c>
      <c r="L13" s="8">
        <v>0</v>
      </c>
      <c r="M13" s="8">
        <v>3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f>D13*1+F13*2+H13*3</f>
      </c>
      <c r="T13" s="8">
        <v>11</v>
      </c>
    </row>
    <row r="14" ht="15" customHeight="1" spans="1:20" x14ac:dyDescent="0.25">
      <c r="A14" s="10">
        <v>15</v>
      </c>
      <c r="B14" s="11" t="s">
        <v>64</v>
      </c>
      <c r="C14" s="10" t="s">
        <v>27</v>
      </c>
      <c r="D14" s="10">
        <v>0</v>
      </c>
      <c r="E14" s="10">
        <v>0</v>
      </c>
      <c r="F14" s="10">
        <v>0</v>
      </c>
      <c r="G14" s="10">
        <v>2</v>
      </c>
      <c r="H14" s="10">
        <v>0</v>
      </c>
      <c r="I14" s="10">
        <v>1</v>
      </c>
      <c r="J14" s="10">
        <v>2</v>
      </c>
      <c r="K14" s="10">
        <v>1</v>
      </c>
      <c r="L14" s="10">
        <v>0</v>
      </c>
      <c r="M14" s="10">
        <v>2</v>
      </c>
      <c r="N14" s="10">
        <v>0</v>
      </c>
      <c r="O14" s="10">
        <v>1</v>
      </c>
      <c r="P14" s="10">
        <v>0</v>
      </c>
      <c r="Q14" s="10">
        <v>0</v>
      </c>
      <c r="R14" s="10">
        <v>0</v>
      </c>
      <c r="S14" s="10">
        <f>D14*1+F14*2+H14*3</f>
      </c>
      <c r="T14" s="10">
        <v>-9</v>
      </c>
    </row>
    <row r="15" ht="15" customHeight="1" spans="1:20" x14ac:dyDescent="0.25">
      <c r="A15" s="8">
        <v>14</v>
      </c>
      <c r="B15" s="9" t="s">
        <v>28</v>
      </c>
      <c r="C15" s="8" t="s">
        <v>27</v>
      </c>
      <c r="D15" s="8">
        <v>0</v>
      </c>
      <c r="E15" s="8">
        <v>0</v>
      </c>
      <c r="F15" s="8">
        <v>1</v>
      </c>
      <c r="G15" s="8">
        <v>0</v>
      </c>
      <c r="H15" s="8">
        <v>0</v>
      </c>
      <c r="I15" s="8">
        <v>1</v>
      </c>
      <c r="J15" s="8">
        <v>0</v>
      </c>
      <c r="K15" s="8">
        <v>0</v>
      </c>
      <c r="L15" s="8">
        <v>1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f>D15*1+F15*2+H15*3</f>
      </c>
      <c r="T15" s="8">
        <v>2</v>
      </c>
    </row>
    <row r="16" ht="15" customHeight="1" spans="1:20" x14ac:dyDescent="0.25">
      <c r="A16" s="10">
        <v>24</v>
      </c>
      <c r="B16" s="11" t="s">
        <v>32</v>
      </c>
      <c r="C16" s="10" t="s">
        <v>27</v>
      </c>
      <c r="D16" s="10">
        <v>0</v>
      </c>
      <c r="E16" s="10">
        <v>0</v>
      </c>
      <c r="F16" s="10">
        <v>1</v>
      </c>
      <c r="G16" s="10">
        <v>0</v>
      </c>
      <c r="H16" s="10">
        <v>0</v>
      </c>
      <c r="I16" s="10">
        <v>3</v>
      </c>
      <c r="J16" s="10">
        <v>1</v>
      </c>
      <c r="K16" s="10">
        <v>1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1</v>
      </c>
      <c r="R16" s="10">
        <v>0</v>
      </c>
      <c r="S16" s="10">
        <f>D16*1+F16*2+H16*3</f>
      </c>
      <c r="T16" s="10">
        <v>0</v>
      </c>
    </row>
    <row r="17" ht="15" customHeight="1" spans="1:20" x14ac:dyDescent="0.25">
      <c r="A17" s="8">
        <v>21</v>
      </c>
      <c r="B17" s="9" t="s">
        <v>33</v>
      </c>
      <c r="C17" s="8" t="s">
        <v>27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1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f>D17*1+F17*2+H17*3</f>
      </c>
      <c r="T17" s="8">
        <v>1</v>
      </c>
    </row>
    <row r="18" ht="15" customHeight="1" spans="1:20" x14ac:dyDescent="0.25">
      <c r="A18" s="10">
        <v>0</v>
      </c>
      <c r="B18" s="11" t="s">
        <v>78</v>
      </c>
      <c r="C18" s="10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3</v>
      </c>
      <c r="N18" s="10">
        <v>0</v>
      </c>
      <c r="O18" s="10">
        <v>1</v>
      </c>
      <c r="P18" s="10">
        <v>0</v>
      </c>
      <c r="Q18" s="10">
        <v>0</v>
      </c>
      <c r="R18" s="10">
        <v>0</v>
      </c>
      <c r="S18" s="10">
        <f>D18*1+F18*2+H18*3</f>
      </c>
      <c r="T18" s="10">
        <v>-10</v>
      </c>
    </row>
    <row r="19" ht="15" customHeight="1" spans="1:20" x14ac:dyDescent="0.25">
      <c r="A19" s="8">
        <v>10</v>
      </c>
      <c r="B19" s="9" t="s">
        <v>60</v>
      </c>
      <c r="C19" s="8" t="s">
        <v>27</v>
      </c>
      <c r="D19" s="8">
        <v>0</v>
      </c>
      <c r="E19" s="8">
        <v>3</v>
      </c>
      <c r="F19" s="8">
        <v>1</v>
      </c>
      <c r="G19" s="8">
        <v>4</v>
      </c>
      <c r="H19" s="8">
        <v>2</v>
      </c>
      <c r="I19" s="8">
        <v>0</v>
      </c>
      <c r="J19" s="8">
        <v>0</v>
      </c>
      <c r="K19" s="8">
        <v>5</v>
      </c>
      <c r="L19" s="8">
        <v>0</v>
      </c>
      <c r="M19" s="8">
        <v>1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f>D19*1+F19*2+H19*3</f>
      </c>
      <c r="T19" s="8">
        <v>6</v>
      </c>
    </row>
    <row r="20" ht="16" customHeight="1" spans="1:20" x14ac:dyDescent="0.25">
      <c r="A20" s="12" t="s">
        <v>27</v>
      </c>
      <c r="B20" s="13" t="s">
        <v>36</v>
      </c>
      <c r="C20" s="12" t="s">
        <v>27</v>
      </c>
      <c r="D20" s="12">
        <f>SUM(D9:D19)</f>
      </c>
      <c r="E20" s="12">
        <f>SUM(E9:E19)</f>
      </c>
      <c r="F20" s="12">
        <f>SUM(F9:F19)</f>
      </c>
      <c r="G20" s="12">
        <f>SUM(G9:G19)</f>
      </c>
      <c r="H20" s="12">
        <f>SUM(H9:H19)</f>
      </c>
      <c r="I20" s="12">
        <f>SUM(I9:I19)</f>
      </c>
      <c r="J20" s="12">
        <f>SUM(J9:J19)</f>
      </c>
      <c r="K20" s="12">
        <f>SUM(K9:K19)</f>
      </c>
      <c r="L20" s="12">
        <f>SUM(L9:L19)</f>
      </c>
      <c r="M20" s="12">
        <f>SUM(M9:M19)</f>
      </c>
      <c r="N20" s="12">
        <f>SUM(N9:N19)</f>
      </c>
      <c r="O20" s="12">
        <f>SUM(O9:O19)</f>
      </c>
      <c r="P20" s="12">
        <f>SUM(P9:P19)</f>
      </c>
      <c r="Q20" s="12">
        <f>SUM(Q9:Q19)</f>
      </c>
      <c r="R20" s="12">
        <f>SUM(R9:R19)</f>
      </c>
      <c r="S20" s="12">
        <f>SUM(S9:S19)</f>
      </c>
      <c r="T20" s="12" t="s">
        <v>27</v>
      </c>
    </row>
    <row r="21" ht="14" customHeight="1" spans="1:20" x14ac:dyDescent="0.25">
      <c r="A21" s="14" t="s">
        <v>37</v>
      </c>
      <c r="B21" s="14"/>
      <c r="C21" s="14"/>
      <c r="D21" s="15" t="s">
        <v>99</v>
      </c>
      <c r="E21" s="15"/>
      <c r="F21" s="15" t="s">
        <v>100</v>
      </c>
      <c r="G21" s="15"/>
      <c r="H21" s="15" t="s">
        <v>101</v>
      </c>
      <c r="I21" s="15"/>
      <c r="K21"/>
      <c r="L21"/>
      <c r="M21"/>
      <c r="N21"/>
      <c r="O21"/>
      <c r="P21"/>
      <c r="Q21"/>
      <c r="R21"/>
      <c r="S21"/>
      <c r="T21"/>
    </row>
    <row r="22" ht="10" customHeight="1" spans="1:20" x14ac:dyDescent="0.25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ht="20" customHeight="1" spans="1:20" x14ac:dyDescent="0.25">
      <c r="A23" s="16" t="s">
        <v>102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</row>
    <row r="24" ht="16" customHeight="1" spans="1:20" x14ac:dyDescent="0.25">
      <c r="A24" s="17" t="s">
        <v>42</v>
      </c>
      <c r="B24" s="17" t="s">
        <v>43</v>
      </c>
      <c r="C24" s="17" t="s">
        <v>44</v>
      </c>
      <c r="D24" s="17" t="s">
        <v>45</v>
      </c>
      <c r="E24" s="17" t="s">
        <v>46</v>
      </c>
      <c r="F24" s="17" t="s">
        <v>47</v>
      </c>
      <c r="G24" s="17" t="s">
        <v>48</v>
      </c>
      <c r="H24" s="17" t="s">
        <v>49</v>
      </c>
      <c r="I24" s="17" t="s">
        <v>50</v>
      </c>
      <c r="K24"/>
      <c r="L24"/>
      <c r="M24"/>
      <c r="N24"/>
      <c r="O24"/>
      <c r="P24"/>
      <c r="Q24"/>
      <c r="R24"/>
      <c r="S24"/>
      <c r="T24"/>
    </row>
    <row r="25" ht="15" customHeight="1" spans="1:20" x14ac:dyDescent="0.25">
      <c r="A25" s="8">
        <v>22</v>
      </c>
      <c r="B25" s="8">
        <v>10</v>
      </c>
      <c r="C25" s="8">
        <v>15</v>
      </c>
      <c r="D25" s="8">
        <v>22</v>
      </c>
      <c r="E25" s="8" t="s">
        <v>27</v>
      </c>
      <c r="F25" s="18">
        <v>69</v>
      </c>
      <c r="G25" s="8" t="s">
        <v>103</v>
      </c>
      <c r="H25" s="8" t="s">
        <v>104</v>
      </c>
      <c r="I25" s="8" t="s">
        <v>105</v>
      </c>
      <c r="K25"/>
      <c r="L25"/>
      <c r="M25"/>
      <c r="N25"/>
      <c r="O25"/>
      <c r="P25"/>
      <c r="Q25"/>
      <c r="R25"/>
      <c r="S25"/>
      <c r="T25"/>
    </row>
    <row r="26" ht="13" customHeight="1" spans="1:20" x14ac:dyDescent="0.25">
      <c r="A26" s="19" t="s">
        <v>54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</row>
  </sheetData>
  <mergeCells count="17">
    <mergeCell ref="A1:T1"/>
    <mergeCell ref="A2:T2"/>
    <mergeCell ref="A3:T3"/>
    <mergeCell ref="A4:T4"/>
    <mergeCell ref="A5:T5"/>
    <mergeCell ref="A6:T6"/>
    <mergeCell ref="A7:T7"/>
    <mergeCell ref="A21:C21"/>
    <mergeCell ref="D21:E21"/>
    <mergeCell ref="F21:G21"/>
    <mergeCell ref="H21:I21"/>
    <mergeCell ref="J21:T21"/>
    <mergeCell ref="A22:T22"/>
    <mergeCell ref="A23:T23"/>
    <mergeCell ref="J24:T24"/>
    <mergeCell ref="J25:T25"/>
    <mergeCell ref="A26:T26"/>
  </mergeCells>
  <pageSetup orientation="landscape" fitToWidth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5FB4"/>
    <pageSetUpPr fitToPage="1"/>
  </sheetPr>
  <dimension ref="A1:T25"/>
  <sheetViews>
    <sheetView workbookViewId="0">
      <pane ySplit="8" topLeftCell="A9" activePane="bottomLeft" state="frozen"/>
      <selection pane="bottomLeft" activeCell="A9" sqref="A9"/>
    </sheetView>
  </sheetViews>
  <sheetFormatPr defaultRowHeight="15" outlineLevelRow="0" outlineLevelCol="0" x14ac:dyDescent="55"/>
  <cols>
    <col min="1" max="1" width="5" customWidth="1"/>
    <col min="2" max="2" width="14" customWidth="1"/>
    <col min="3" max="18" width="5" customWidth="1"/>
    <col min="19" max="20" width="6" customWidth="1"/>
  </cols>
  <sheetData>
    <row r="1" ht="22" customHeight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18" customHeight="1" spans="1:20" x14ac:dyDescent="0.25">
      <c r="A2" s="2" t="s">
        <v>106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0" customHeight="1" spans="1:20" x14ac:dyDescent="0.25">
      <c r="A3" s="3" t="s">
        <v>107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t="18" customHeight="1" spans="1:20" x14ac:dyDescent="0.25">
      <c r="A4" s="4" t="s">
        <v>108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ht="16" customHeight="1" spans="1:20" x14ac:dyDescent="0.25">
      <c r="A5" s="5" t="s">
        <v>109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ht="8" customHeight="1" spans="1:20" x14ac:dyDescent="0.2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</row>
    <row r="7" ht="20" customHeight="1" spans="1:20" x14ac:dyDescent="0.25">
      <c r="A7" s="6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ht="16" customHeight="1" spans="1:20" x14ac:dyDescent="0.25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  <c r="H8" s="7" t="s">
        <v>13</v>
      </c>
      <c r="I8" s="7" t="s">
        <v>14</v>
      </c>
      <c r="J8" s="7" t="s">
        <v>15</v>
      </c>
      <c r="K8" s="7" t="s">
        <v>16</v>
      </c>
      <c r="L8" s="7" t="s">
        <v>17</v>
      </c>
      <c r="M8" s="7" t="s">
        <v>18</v>
      </c>
      <c r="N8" s="7" t="s">
        <v>19</v>
      </c>
      <c r="O8" s="7" t="s">
        <v>20</v>
      </c>
      <c r="P8" s="7" t="s">
        <v>21</v>
      </c>
      <c r="Q8" s="7" t="s">
        <v>22</v>
      </c>
      <c r="R8" s="7" t="s">
        <v>23</v>
      </c>
      <c r="S8" s="7" t="s">
        <v>24</v>
      </c>
      <c r="T8" s="7" t="s">
        <v>25</v>
      </c>
    </row>
    <row r="9" ht="15" customHeight="1" spans="1:20" x14ac:dyDescent="0.25">
      <c r="A9" s="8">
        <v>11</v>
      </c>
      <c r="B9" s="9" t="s">
        <v>63</v>
      </c>
      <c r="C9" s="8" t="s">
        <v>27</v>
      </c>
      <c r="D9" s="8">
        <v>0</v>
      </c>
      <c r="E9" s="8">
        <v>0</v>
      </c>
      <c r="F9" s="8">
        <v>1</v>
      </c>
      <c r="G9" s="8">
        <v>1</v>
      </c>
      <c r="H9" s="8">
        <v>1</v>
      </c>
      <c r="I9" s="8">
        <v>0</v>
      </c>
      <c r="J9" s="8">
        <v>0</v>
      </c>
      <c r="K9" s="8">
        <v>1</v>
      </c>
      <c r="L9" s="8">
        <v>1</v>
      </c>
      <c r="M9" s="8">
        <v>3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f>D9*1+F9*2+H9*3</f>
      </c>
      <c r="T9" s="8">
        <v>5</v>
      </c>
    </row>
    <row r="10" ht="15" customHeight="1" spans="1:20" x14ac:dyDescent="0.25">
      <c r="A10" s="10">
        <v>43</v>
      </c>
      <c r="B10" s="11" t="s">
        <v>62</v>
      </c>
      <c r="C10" s="10" t="s">
        <v>27</v>
      </c>
      <c r="D10" s="10">
        <v>0</v>
      </c>
      <c r="E10" s="10">
        <v>4</v>
      </c>
      <c r="F10" s="10">
        <v>1</v>
      </c>
      <c r="G10" s="10">
        <v>7</v>
      </c>
      <c r="H10" s="10">
        <v>0</v>
      </c>
      <c r="I10" s="10">
        <v>2</v>
      </c>
      <c r="J10" s="10">
        <v>2</v>
      </c>
      <c r="K10" s="10">
        <v>8</v>
      </c>
      <c r="L10" s="10">
        <v>0</v>
      </c>
      <c r="M10" s="10">
        <v>1</v>
      </c>
      <c r="N10" s="10">
        <v>0</v>
      </c>
      <c r="O10" s="10">
        <v>0</v>
      </c>
      <c r="P10" s="10">
        <v>0</v>
      </c>
      <c r="Q10" s="10">
        <v>0</v>
      </c>
      <c r="R10" s="10">
        <v>1</v>
      </c>
      <c r="S10" s="10">
        <f>D10*1+F10*2+H10*3</f>
      </c>
      <c r="T10" s="10">
        <v>1</v>
      </c>
    </row>
    <row r="11" ht="15" customHeight="1" spans="1:20" x14ac:dyDescent="0.25">
      <c r="A11" s="8">
        <v>22</v>
      </c>
      <c r="B11" s="9" t="s">
        <v>59</v>
      </c>
      <c r="C11" s="8" t="s">
        <v>27</v>
      </c>
      <c r="D11" s="8">
        <v>2</v>
      </c>
      <c r="E11" s="8">
        <v>4</v>
      </c>
      <c r="F11" s="8">
        <v>2</v>
      </c>
      <c r="G11" s="8">
        <v>3</v>
      </c>
      <c r="H11" s="8">
        <v>2</v>
      </c>
      <c r="I11" s="8">
        <v>3</v>
      </c>
      <c r="J11" s="8">
        <v>0</v>
      </c>
      <c r="K11" s="8">
        <v>1</v>
      </c>
      <c r="L11" s="8">
        <v>0</v>
      </c>
      <c r="M11" s="8">
        <v>3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f>D11*1+F11*2+H11*3</f>
      </c>
      <c r="T11" s="8">
        <v>6</v>
      </c>
    </row>
    <row r="12" ht="15" customHeight="1" spans="1:20" x14ac:dyDescent="0.25">
      <c r="A12" s="10">
        <v>8</v>
      </c>
      <c r="B12" s="11" t="s">
        <v>31</v>
      </c>
      <c r="C12" s="10" t="s">
        <v>27</v>
      </c>
      <c r="D12" s="10">
        <v>4</v>
      </c>
      <c r="E12" s="10">
        <v>5</v>
      </c>
      <c r="F12" s="10">
        <v>3</v>
      </c>
      <c r="G12" s="10">
        <v>2</v>
      </c>
      <c r="H12" s="10">
        <v>1</v>
      </c>
      <c r="I12" s="10">
        <v>2</v>
      </c>
      <c r="J12" s="10">
        <v>3</v>
      </c>
      <c r="K12" s="10">
        <v>4</v>
      </c>
      <c r="L12" s="10">
        <v>2</v>
      </c>
      <c r="M12" s="10">
        <v>2</v>
      </c>
      <c r="N12" s="10">
        <v>0</v>
      </c>
      <c r="O12" s="10">
        <v>0</v>
      </c>
      <c r="P12" s="10">
        <v>0</v>
      </c>
      <c r="Q12" s="10">
        <v>2</v>
      </c>
      <c r="R12" s="10">
        <v>0</v>
      </c>
      <c r="S12" s="10">
        <f>D12*1+F12*2+H12*3</f>
      </c>
      <c r="T12" s="10">
        <v>12</v>
      </c>
    </row>
    <row r="13" ht="15" customHeight="1" spans="1:20" x14ac:dyDescent="0.25">
      <c r="A13" s="8">
        <v>4</v>
      </c>
      <c r="B13" s="9" t="s">
        <v>30</v>
      </c>
      <c r="C13" s="8" t="s">
        <v>27</v>
      </c>
      <c r="D13" s="8">
        <v>0</v>
      </c>
      <c r="E13" s="8">
        <v>0</v>
      </c>
      <c r="F13" s="8">
        <v>1</v>
      </c>
      <c r="G13" s="8">
        <v>0</v>
      </c>
      <c r="H13" s="8">
        <v>0</v>
      </c>
      <c r="I13" s="8">
        <v>0</v>
      </c>
      <c r="J13" s="8">
        <v>0</v>
      </c>
      <c r="K13" s="8">
        <v>2</v>
      </c>
      <c r="L13" s="8">
        <v>1</v>
      </c>
      <c r="M13" s="8">
        <v>4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f>D13*1+F13*2+H13*3</f>
      </c>
      <c r="T13" s="8">
        <v>5</v>
      </c>
    </row>
    <row r="14" ht="15" customHeight="1" spans="1:20" x14ac:dyDescent="0.25">
      <c r="A14" s="10">
        <v>15</v>
      </c>
      <c r="B14" s="11" t="s">
        <v>64</v>
      </c>
      <c r="C14" s="10" t="s">
        <v>27</v>
      </c>
      <c r="D14" s="10">
        <v>0</v>
      </c>
      <c r="E14" s="10">
        <v>2</v>
      </c>
      <c r="F14" s="10">
        <v>4</v>
      </c>
      <c r="G14" s="10">
        <v>4</v>
      </c>
      <c r="H14" s="10">
        <v>0</v>
      </c>
      <c r="I14" s="10">
        <v>0</v>
      </c>
      <c r="J14" s="10">
        <v>3</v>
      </c>
      <c r="K14" s="10">
        <v>1</v>
      </c>
      <c r="L14" s="10">
        <v>4</v>
      </c>
      <c r="M14" s="10">
        <v>3</v>
      </c>
      <c r="N14" s="10">
        <v>0</v>
      </c>
      <c r="O14" s="10">
        <v>0</v>
      </c>
      <c r="P14" s="10">
        <v>0</v>
      </c>
      <c r="Q14" s="10">
        <v>1</v>
      </c>
      <c r="R14" s="10">
        <v>0</v>
      </c>
      <c r="S14" s="10">
        <f>D14*1+F14*2+H14*3</f>
      </c>
      <c r="T14" s="10">
        <v>9</v>
      </c>
    </row>
    <row r="15" ht="15" customHeight="1" spans="1:20" x14ac:dyDescent="0.25">
      <c r="A15" s="8">
        <v>14</v>
      </c>
      <c r="B15" s="9" t="s">
        <v>28</v>
      </c>
      <c r="C15" s="8" t="s">
        <v>27</v>
      </c>
      <c r="D15" s="8">
        <v>0</v>
      </c>
      <c r="E15" s="8">
        <v>2</v>
      </c>
      <c r="F15" s="8">
        <v>0</v>
      </c>
      <c r="G15" s="8">
        <v>0</v>
      </c>
      <c r="H15" s="8">
        <v>0</v>
      </c>
      <c r="I15" s="8">
        <v>0</v>
      </c>
      <c r="J15" s="8">
        <v>1</v>
      </c>
      <c r="K15" s="8">
        <v>1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f>D15*1+F15*2+H15*3</f>
      </c>
      <c r="T15" s="8">
        <v>0</v>
      </c>
    </row>
    <row r="16" ht="15" customHeight="1" spans="1:20" x14ac:dyDescent="0.25">
      <c r="A16" s="10">
        <v>24</v>
      </c>
      <c r="B16" s="11" t="s">
        <v>32</v>
      </c>
      <c r="C16" s="10" t="s">
        <v>27</v>
      </c>
      <c r="D16" s="10">
        <v>0</v>
      </c>
      <c r="E16" s="10">
        <v>0</v>
      </c>
      <c r="F16" s="10">
        <v>1</v>
      </c>
      <c r="G16" s="10">
        <v>1</v>
      </c>
      <c r="H16" s="10">
        <v>0</v>
      </c>
      <c r="I16" s="10">
        <v>2</v>
      </c>
      <c r="J16" s="10">
        <v>0</v>
      </c>
      <c r="K16" s="10">
        <v>2</v>
      </c>
      <c r="L16" s="10">
        <v>3</v>
      </c>
      <c r="M16" s="10">
        <v>2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f>D16*1+F16*2+H16*3</f>
      </c>
      <c r="T16" s="10">
        <v>4</v>
      </c>
    </row>
    <row r="17" ht="15" customHeight="1" spans="1:20" x14ac:dyDescent="0.25">
      <c r="A17" s="8">
        <v>21</v>
      </c>
      <c r="B17" s="9" t="s">
        <v>33</v>
      </c>
      <c r="C17" s="8" t="s">
        <v>27</v>
      </c>
      <c r="D17" s="8">
        <v>0</v>
      </c>
      <c r="E17" s="8">
        <v>0</v>
      </c>
      <c r="F17" s="8">
        <v>0</v>
      </c>
      <c r="G17" s="8">
        <v>1</v>
      </c>
      <c r="H17" s="8">
        <v>0</v>
      </c>
      <c r="I17" s="8">
        <v>0</v>
      </c>
      <c r="J17" s="8">
        <v>0</v>
      </c>
      <c r="K17" s="8">
        <v>1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f>D17*1+F17*2+H17*3</f>
      </c>
      <c r="T17" s="8">
        <v>0</v>
      </c>
    </row>
    <row r="18" ht="15" customHeight="1" spans="1:20" x14ac:dyDescent="0.25">
      <c r="A18" s="10">
        <v>13</v>
      </c>
      <c r="B18" s="11" t="s">
        <v>76</v>
      </c>
      <c r="C18" s="10" t="s">
        <v>27</v>
      </c>
      <c r="D18" s="10">
        <v>0</v>
      </c>
      <c r="E18" s="10">
        <v>0</v>
      </c>
      <c r="F18" s="10">
        <v>0</v>
      </c>
      <c r="G18" s="10">
        <v>1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f>D18*1+F18*2+H18*3</f>
      </c>
      <c r="T18" s="10">
        <v>-1</v>
      </c>
    </row>
    <row r="19" ht="16" customHeight="1" spans="1:20" x14ac:dyDescent="0.25">
      <c r="A19" s="12" t="s">
        <v>27</v>
      </c>
      <c r="B19" s="13" t="s">
        <v>36</v>
      </c>
      <c r="C19" s="12" t="s">
        <v>27</v>
      </c>
      <c r="D19" s="12">
        <f>SUM(D9:D18)</f>
      </c>
      <c r="E19" s="12">
        <f>SUM(E9:E18)</f>
      </c>
      <c r="F19" s="12">
        <f>SUM(F9:F18)</f>
      </c>
      <c r="G19" s="12">
        <f>SUM(G9:G18)</f>
      </c>
      <c r="H19" s="12">
        <f>SUM(H9:H18)</f>
      </c>
      <c r="I19" s="12">
        <f>SUM(I9:I18)</f>
      </c>
      <c r="J19" s="12">
        <f>SUM(J9:J18)</f>
      </c>
      <c r="K19" s="12">
        <f>SUM(K9:K18)</f>
      </c>
      <c r="L19" s="12">
        <f>SUM(L9:L18)</f>
      </c>
      <c r="M19" s="12">
        <f>SUM(M9:M18)</f>
      </c>
      <c r="N19" s="12">
        <f>SUM(N9:N18)</f>
      </c>
      <c r="O19" s="12">
        <f>SUM(O9:O18)</f>
      </c>
      <c r="P19" s="12">
        <f>SUM(P9:P18)</f>
      </c>
      <c r="Q19" s="12">
        <f>SUM(Q9:Q18)</f>
      </c>
      <c r="R19" s="12">
        <f>SUM(R9:R18)</f>
      </c>
      <c r="S19" s="12">
        <f>SUM(S9:S18)</f>
      </c>
      <c r="T19" s="12" t="s">
        <v>27</v>
      </c>
    </row>
    <row r="20" ht="14" customHeight="1" spans="1:20" x14ac:dyDescent="0.25">
      <c r="A20" s="14" t="s">
        <v>37</v>
      </c>
      <c r="B20" s="14"/>
      <c r="C20" s="14"/>
      <c r="D20" s="15" t="s">
        <v>110</v>
      </c>
      <c r="E20" s="15"/>
      <c r="F20" s="15" t="s">
        <v>111</v>
      </c>
      <c r="G20" s="15"/>
      <c r="H20" s="15" t="s">
        <v>101</v>
      </c>
      <c r="I20" s="15"/>
      <c r="K20"/>
      <c r="L20"/>
      <c r="M20"/>
      <c r="N20"/>
      <c r="O20"/>
      <c r="P20"/>
      <c r="Q20"/>
      <c r="R20"/>
      <c r="S20"/>
      <c r="T20"/>
    </row>
    <row r="21" ht="10" customHeight="1" spans="1:20" x14ac:dyDescent="0.25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</row>
    <row r="22" ht="20" customHeight="1" spans="1:20" x14ac:dyDescent="0.25">
      <c r="A22" s="16" t="s">
        <v>112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</row>
    <row r="23" ht="16" customHeight="1" spans="1:20" x14ac:dyDescent="0.25">
      <c r="A23" s="17" t="s">
        <v>42</v>
      </c>
      <c r="B23" s="17" t="s">
        <v>43</v>
      </c>
      <c r="C23" s="17" t="s">
        <v>44</v>
      </c>
      <c r="D23" s="17" t="s">
        <v>45</v>
      </c>
      <c r="E23" s="17" t="s">
        <v>46</v>
      </c>
      <c r="F23" s="17" t="s">
        <v>47</v>
      </c>
      <c r="G23" s="17" t="s">
        <v>48</v>
      </c>
      <c r="H23" s="17" t="s">
        <v>49</v>
      </c>
      <c r="I23" s="17" t="s">
        <v>50</v>
      </c>
      <c r="K23"/>
      <c r="L23"/>
      <c r="M23"/>
      <c r="N23"/>
      <c r="O23"/>
      <c r="P23"/>
      <c r="Q23"/>
      <c r="R23"/>
      <c r="S23"/>
      <c r="T23"/>
    </row>
    <row r="24" ht="15" customHeight="1" spans="1:20" x14ac:dyDescent="0.25">
      <c r="A24" s="8">
        <v>9</v>
      </c>
      <c r="B24" s="8">
        <v>12</v>
      </c>
      <c r="C24" s="8">
        <v>17</v>
      </c>
      <c r="D24" s="8">
        <v>17</v>
      </c>
      <c r="E24" s="8" t="s">
        <v>27</v>
      </c>
      <c r="F24" s="18">
        <v>55</v>
      </c>
      <c r="G24" s="8" t="s">
        <v>113</v>
      </c>
      <c r="H24" s="8" t="s">
        <v>114</v>
      </c>
      <c r="I24" s="8" t="s">
        <v>115</v>
      </c>
      <c r="K24"/>
      <c r="L24"/>
      <c r="M24"/>
      <c r="N24"/>
      <c r="O24"/>
      <c r="P24"/>
      <c r="Q24"/>
      <c r="R24"/>
      <c r="S24"/>
      <c r="T24"/>
    </row>
    <row r="25" ht="13" customHeight="1" spans="1:20" x14ac:dyDescent="0.25">
      <c r="A25" s="19" t="s">
        <v>54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</row>
  </sheetData>
  <mergeCells count="17">
    <mergeCell ref="A1:T1"/>
    <mergeCell ref="A2:T2"/>
    <mergeCell ref="A3:T3"/>
    <mergeCell ref="A4:T4"/>
    <mergeCell ref="A5:T5"/>
    <mergeCell ref="A6:T6"/>
    <mergeCell ref="A7:T7"/>
    <mergeCell ref="A20:C20"/>
    <mergeCell ref="D20:E20"/>
    <mergeCell ref="F20:G20"/>
    <mergeCell ref="H20:I20"/>
    <mergeCell ref="J20:T20"/>
    <mergeCell ref="A21:T21"/>
    <mergeCell ref="A22:T22"/>
    <mergeCell ref="J23:T23"/>
    <mergeCell ref="J24:T24"/>
    <mergeCell ref="A25:T25"/>
  </mergeCells>
  <pageSetup orientation="landscape" fitToWidth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5FB4"/>
    <pageSetUpPr fitToPage="1"/>
  </sheetPr>
  <dimension ref="A1:T25"/>
  <sheetViews>
    <sheetView workbookViewId="0">
      <pane ySplit="8" topLeftCell="A9" activePane="bottomLeft" state="frozen"/>
      <selection pane="bottomLeft" activeCell="A9" sqref="A9"/>
    </sheetView>
  </sheetViews>
  <sheetFormatPr defaultRowHeight="15" outlineLevelRow="0" outlineLevelCol="0" x14ac:dyDescent="55"/>
  <cols>
    <col min="1" max="1" width="5" customWidth="1"/>
    <col min="2" max="2" width="14" customWidth="1"/>
    <col min="3" max="18" width="5" customWidth="1"/>
    <col min="19" max="20" width="6" customWidth="1"/>
  </cols>
  <sheetData>
    <row r="1" ht="22" customHeight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18" customHeight="1" spans="1:20" x14ac:dyDescent="0.25">
      <c r="A2" s="2" t="s">
        <v>116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0" customHeight="1" spans="1:20" x14ac:dyDescent="0.25">
      <c r="A3" s="3" t="s">
        <v>117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t="18" customHeight="1" spans="1:20" x14ac:dyDescent="0.25">
      <c r="A4" s="4" t="s">
        <v>118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ht="16" customHeight="1" spans="1:20" x14ac:dyDescent="0.25">
      <c r="A5" s="5" t="s">
        <v>119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ht="8" customHeight="1" spans="1:20" x14ac:dyDescent="0.2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</row>
    <row r="7" ht="20" customHeight="1" spans="1:20" x14ac:dyDescent="0.25">
      <c r="A7" s="6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ht="16" customHeight="1" spans="1:20" x14ac:dyDescent="0.25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  <c r="H8" s="7" t="s">
        <v>13</v>
      </c>
      <c r="I8" s="7" t="s">
        <v>14</v>
      </c>
      <c r="J8" s="7" t="s">
        <v>15</v>
      </c>
      <c r="K8" s="7" t="s">
        <v>16</v>
      </c>
      <c r="L8" s="7" t="s">
        <v>17</v>
      </c>
      <c r="M8" s="7" t="s">
        <v>18</v>
      </c>
      <c r="N8" s="7" t="s">
        <v>19</v>
      </c>
      <c r="O8" s="7" t="s">
        <v>20</v>
      </c>
      <c r="P8" s="7" t="s">
        <v>21</v>
      </c>
      <c r="Q8" s="7" t="s">
        <v>22</v>
      </c>
      <c r="R8" s="7" t="s">
        <v>23</v>
      </c>
      <c r="S8" s="7" t="s">
        <v>24</v>
      </c>
      <c r="T8" s="7" t="s">
        <v>25</v>
      </c>
    </row>
    <row r="9" ht="15" customHeight="1" spans="1:20" x14ac:dyDescent="0.25">
      <c r="A9" s="8">
        <v>11</v>
      </c>
      <c r="B9" s="9" t="s">
        <v>63</v>
      </c>
      <c r="C9" s="8" t="s">
        <v>27</v>
      </c>
      <c r="D9" s="8">
        <v>0</v>
      </c>
      <c r="E9" s="8">
        <v>0</v>
      </c>
      <c r="F9" s="8">
        <v>0</v>
      </c>
      <c r="G9" s="8">
        <v>1</v>
      </c>
      <c r="H9" s="8">
        <v>0</v>
      </c>
      <c r="I9" s="8">
        <v>2</v>
      </c>
      <c r="J9" s="8">
        <v>1</v>
      </c>
      <c r="K9" s="8">
        <v>2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f>D9*1+F9*2+H9*3</f>
      </c>
      <c r="T9" s="8" t="s">
        <v>27</v>
      </c>
    </row>
    <row r="10" ht="15" customHeight="1" spans="1:20" x14ac:dyDescent="0.25">
      <c r="A10" s="10">
        <v>22</v>
      </c>
      <c r="B10" s="11" t="s">
        <v>59</v>
      </c>
      <c r="C10" s="10" t="s">
        <v>27</v>
      </c>
      <c r="D10" s="10">
        <v>0</v>
      </c>
      <c r="E10" s="10">
        <v>1</v>
      </c>
      <c r="F10" s="10">
        <v>3</v>
      </c>
      <c r="G10" s="10">
        <v>5</v>
      </c>
      <c r="H10" s="10">
        <v>2</v>
      </c>
      <c r="I10" s="10">
        <v>3</v>
      </c>
      <c r="J10" s="10">
        <v>0</v>
      </c>
      <c r="K10" s="10">
        <v>0</v>
      </c>
      <c r="L10" s="10">
        <v>0</v>
      </c>
      <c r="M10" s="10">
        <v>1</v>
      </c>
      <c r="N10" s="10">
        <v>0</v>
      </c>
      <c r="O10" s="10">
        <v>0</v>
      </c>
      <c r="P10" s="10">
        <v>0</v>
      </c>
      <c r="Q10" s="10">
        <v>1</v>
      </c>
      <c r="R10" s="10">
        <v>0</v>
      </c>
      <c r="S10" s="10">
        <f>D10*1+F10*2+H10*3</f>
      </c>
      <c r="T10" s="10" t="s">
        <v>27</v>
      </c>
    </row>
    <row r="11" ht="15" customHeight="1" spans="1:20" x14ac:dyDescent="0.25">
      <c r="A11" s="8">
        <v>8</v>
      </c>
      <c r="B11" s="9" t="s">
        <v>31</v>
      </c>
      <c r="C11" s="8" t="s">
        <v>27</v>
      </c>
      <c r="D11" s="8">
        <v>1</v>
      </c>
      <c r="E11" s="8">
        <v>1</v>
      </c>
      <c r="F11" s="8">
        <v>3</v>
      </c>
      <c r="G11" s="8">
        <v>2</v>
      </c>
      <c r="H11" s="8">
        <v>1</v>
      </c>
      <c r="I11" s="8">
        <v>3</v>
      </c>
      <c r="J11" s="8">
        <v>1</v>
      </c>
      <c r="K11" s="8">
        <v>6</v>
      </c>
      <c r="L11" s="8">
        <v>0</v>
      </c>
      <c r="M11" s="8">
        <v>2</v>
      </c>
      <c r="N11" s="8">
        <v>0</v>
      </c>
      <c r="O11" s="8">
        <v>0</v>
      </c>
      <c r="P11" s="8">
        <v>0</v>
      </c>
      <c r="Q11" s="8">
        <v>1</v>
      </c>
      <c r="R11" s="8">
        <v>0</v>
      </c>
      <c r="S11" s="8">
        <f>D11*1+F11*2+H11*3</f>
      </c>
      <c r="T11" s="8" t="s">
        <v>27</v>
      </c>
    </row>
    <row r="12" ht="15" customHeight="1" spans="1:20" x14ac:dyDescent="0.25">
      <c r="A12" s="10">
        <v>4</v>
      </c>
      <c r="B12" s="11" t="s">
        <v>30</v>
      </c>
      <c r="C12" s="10" t="s">
        <v>27</v>
      </c>
      <c r="D12" s="10">
        <v>0</v>
      </c>
      <c r="E12" s="10">
        <v>0</v>
      </c>
      <c r="F12" s="10">
        <v>0</v>
      </c>
      <c r="G12" s="10">
        <v>2</v>
      </c>
      <c r="H12" s="10">
        <v>0</v>
      </c>
      <c r="I12" s="10">
        <v>0</v>
      </c>
      <c r="J12" s="10">
        <v>1</v>
      </c>
      <c r="K12" s="10">
        <v>6</v>
      </c>
      <c r="L12" s="10">
        <v>1</v>
      </c>
      <c r="M12" s="10">
        <v>2</v>
      </c>
      <c r="N12" s="10">
        <v>1</v>
      </c>
      <c r="O12" s="10">
        <v>0</v>
      </c>
      <c r="P12" s="10">
        <v>0</v>
      </c>
      <c r="Q12" s="10">
        <v>1</v>
      </c>
      <c r="R12" s="10">
        <v>0</v>
      </c>
      <c r="S12" s="10">
        <f>D12*1+F12*2+H12*3</f>
      </c>
      <c r="T12" s="10" t="s">
        <v>27</v>
      </c>
    </row>
    <row r="13" ht="15" customHeight="1" spans="1:20" x14ac:dyDescent="0.25">
      <c r="A13" s="8">
        <v>15</v>
      </c>
      <c r="B13" s="9" t="s">
        <v>64</v>
      </c>
      <c r="C13" s="8" t="s">
        <v>27</v>
      </c>
      <c r="D13" s="8">
        <v>0</v>
      </c>
      <c r="E13" s="8">
        <v>0</v>
      </c>
      <c r="F13" s="8">
        <v>1</v>
      </c>
      <c r="G13" s="8">
        <v>3</v>
      </c>
      <c r="H13" s="8">
        <v>0</v>
      </c>
      <c r="I13" s="8">
        <v>0</v>
      </c>
      <c r="J13" s="8">
        <v>0</v>
      </c>
      <c r="K13" s="8">
        <v>2</v>
      </c>
      <c r="L13" s="8">
        <v>1</v>
      </c>
      <c r="M13" s="8">
        <v>2</v>
      </c>
      <c r="N13" s="8">
        <v>0</v>
      </c>
      <c r="O13" s="8">
        <v>0</v>
      </c>
      <c r="P13" s="8">
        <v>0</v>
      </c>
      <c r="Q13" s="8">
        <v>1</v>
      </c>
      <c r="R13" s="8">
        <v>0</v>
      </c>
      <c r="S13" s="8">
        <f>D13*1+F13*2+H13*3</f>
      </c>
      <c r="T13" s="8" t="s">
        <v>27</v>
      </c>
    </row>
    <row r="14" ht="15" customHeight="1" spans="1:20" x14ac:dyDescent="0.25">
      <c r="A14" s="10">
        <v>14</v>
      </c>
      <c r="B14" s="11" t="s">
        <v>28</v>
      </c>
      <c r="C14" s="10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3</v>
      </c>
      <c r="J14" s="10">
        <v>2</v>
      </c>
      <c r="K14" s="10">
        <v>1</v>
      </c>
      <c r="L14" s="10">
        <v>0</v>
      </c>
      <c r="M14" s="10">
        <v>3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f>D14*1+F14*2+H14*3</f>
      </c>
      <c r="T14" s="10" t="s">
        <v>27</v>
      </c>
    </row>
    <row r="15" ht="15" customHeight="1" spans="1:20" x14ac:dyDescent="0.25">
      <c r="A15" s="8">
        <v>24</v>
      </c>
      <c r="B15" s="9" t="s">
        <v>32</v>
      </c>
      <c r="C15" s="8" t="s">
        <v>27</v>
      </c>
      <c r="D15" s="8">
        <v>2</v>
      </c>
      <c r="E15" s="8">
        <v>2</v>
      </c>
      <c r="F15" s="8">
        <v>0</v>
      </c>
      <c r="G15" s="8">
        <v>0</v>
      </c>
      <c r="H15" s="8">
        <v>0</v>
      </c>
      <c r="I15" s="8">
        <v>1</v>
      </c>
      <c r="J15" s="8">
        <v>0</v>
      </c>
      <c r="K15" s="8">
        <v>3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f>D15*1+F15*2+H15*3</f>
      </c>
      <c r="T15" s="8">
        <v>0</v>
      </c>
    </row>
    <row r="16" ht="15" customHeight="1" spans="1:20" x14ac:dyDescent="0.25">
      <c r="A16" s="10">
        <v>21</v>
      </c>
      <c r="B16" s="11" t="s">
        <v>33</v>
      </c>
      <c r="C16" s="10" t="s">
        <v>27</v>
      </c>
      <c r="D16" s="10">
        <v>0</v>
      </c>
      <c r="E16" s="10">
        <v>0</v>
      </c>
      <c r="F16" s="10">
        <v>0</v>
      </c>
      <c r="G16" s="10">
        <v>1</v>
      </c>
      <c r="H16" s="10">
        <v>0</v>
      </c>
      <c r="I16" s="10">
        <v>1</v>
      </c>
      <c r="J16" s="10">
        <v>0</v>
      </c>
      <c r="K16" s="10">
        <v>0</v>
      </c>
      <c r="L16" s="10">
        <v>0</v>
      </c>
      <c r="M16" s="10">
        <v>1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f>D16*1+F16*2+H16*3</f>
      </c>
      <c r="T16" s="10">
        <v>0</v>
      </c>
    </row>
    <row r="17" ht="15" customHeight="1" spans="1:20" x14ac:dyDescent="0.25">
      <c r="A17" s="8">
        <v>13</v>
      </c>
      <c r="B17" s="9" t="s">
        <v>34</v>
      </c>
      <c r="C17" s="8" t="s">
        <v>27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f>D17*1+F17*2+H17*3</f>
      </c>
      <c r="T17" s="8">
        <v>0</v>
      </c>
    </row>
    <row r="18" ht="15" customHeight="1" spans="1:20" x14ac:dyDescent="0.25">
      <c r="A18" s="10">
        <v>10</v>
      </c>
      <c r="B18" s="11" t="s">
        <v>60</v>
      </c>
      <c r="C18" s="10" t="s">
        <v>27</v>
      </c>
      <c r="D18" s="10">
        <v>0</v>
      </c>
      <c r="E18" s="10">
        <v>2</v>
      </c>
      <c r="F18" s="10">
        <v>0</v>
      </c>
      <c r="G18" s="10">
        <v>1</v>
      </c>
      <c r="H18" s="10">
        <v>2</v>
      </c>
      <c r="I18" s="10">
        <v>1</v>
      </c>
      <c r="J18" s="10">
        <v>0</v>
      </c>
      <c r="K18" s="10">
        <v>1</v>
      </c>
      <c r="L18" s="10">
        <v>1</v>
      </c>
      <c r="M18" s="10">
        <v>1</v>
      </c>
      <c r="N18" s="10">
        <v>0</v>
      </c>
      <c r="O18" s="10">
        <v>0</v>
      </c>
      <c r="P18" s="10">
        <v>1</v>
      </c>
      <c r="Q18" s="10">
        <v>1</v>
      </c>
      <c r="R18" s="10">
        <v>0</v>
      </c>
      <c r="S18" s="10">
        <f>D18*1+F18*2+H18*3</f>
      </c>
      <c r="T18" s="10" t="s">
        <v>27</v>
      </c>
    </row>
    <row r="19" ht="16" customHeight="1" spans="1:20" x14ac:dyDescent="0.25">
      <c r="A19" s="12" t="s">
        <v>27</v>
      </c>
      <c r="B19" s="13" t="s">
        <v>36</v>
      </c>
      <c r="C19" s="12" t="s">
        <v>27</v>
      </c>
      <c r="D19" s="12">
        <f>SUM(D9:D18)</f>
      </c>
      <c r="E19" s="12">
        <f>SUM(E9:E18)</f>
      </c>
      <c r="F19" s="12">
        <f>SUM(F9:F18)</f>
      </c>
      <c r="G19" s="12">
        <f>SUM(G9:G18)</f>
      </c>
      <c r="H19" s="12">
        <f>SUM(H9:H18)</f>
      </c>
      <c r="I19" s="12">
        <f>SUM(I9:I18)</f>
      </c>
      <c r="J19" s="12">
        <f>SUM(J9:J18)</f>
      </c>
      <c r="K19" s="12">
        <f>SUM(K9:K18)</f>
      </c>
      <c r="L19" s="12">
        <f>SUM(L9:L18)</f>
      </c>
      <c r="M19" s="12">
        <f>SUM(M9:M18)</f>
      </c>
      <c r="N19" s="12">
        <f>SUM(N9:N18)</f>
      </c>
      <c r="O19" s="12">
        <f>SUM(O9:O18)</f>
      </c>
      <c r="P19" s="12">
        <f>SUM(P9:P18)</f>
      </c>
      <c r="Q19" s="12">
        <f>SUM(Q9:Q18)</f>
      </c>
      <c r="R19" s="12">
        <f>SUM(R9:R18)</f>
      </c>
      <c r="S19" s="12">
        <f>SUM(S9:S18)</f>
      </c>
      <c r="T19" s="12" t="s">
        <v>27</v>
      </c>
    </row>
    <row r="20" ht="14" customHeight="1" spans="1:20" x14ac:dyDescent="0.25">
      <c r="A20" s="14" t="s">
        <v>37</v>
      </c>
      <c r="B20" s="14"/>
      <c r="C20" s="14"/>
      <c r="D20" s="15" t="s">
        <v>120</v>
      </c>
      <c r="E20" s="15"/>
      <c r="F20" s="15" t="s">
        <v>121</v>
      </c>
      <c r="G20" s="15"/>
      <c r="H20" s="15" t="s">
        <v>122</v>
      </c>
      <c r="I20" s="15"/>
      <c r="K20"/>
      <c r="L20"/>
      <c r="M20"/>
      <c r="N20"/>
      <c r="O20"/>
      <c r="P20"/>
      <c r="Q20"/>
      <c r="R20"/>
      <c r="S20"/>
      <c r="T20"/>
    </row>
    <row r="21" ht="10" customHeight="1" spans="1:20" x14ac:dyDescent="0.25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</row>
    <row r="22" ht="20" customHeight="1" spans="1:20" x14ac:dyDescent="0.25">
      <c r="A22" s="16" t="s">
        <v>123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</row>
    <row r="23" ht="16" customHeight="1" spans="1:20" x14ac:dyDescent="0.25">
      <c r="A23" s="17" t="s">
        <v>42</v>
      </c>
      <c r="B23" s="17" t="s">
        <v>43</v>
      </c>
      <c r="C23" s="17" t="s">
        <v>44</v>
      </c>
      <c r="D23" s="17" t="s">
        <v>45</v>
      </c>
      <c r="E23" s="17" t="s">
        <v>46</v>
      </c>
      <c r="F23" s="17" t="s">
        <v>47</v>
      </c>
      <c r="G23" s="17" t="s">
        <v>48</v>
      </c>
      <c r="H23" s="17" t="s">
        <v>49</v>
      </c>
      <c r="I23" s="17" t="s">
        <v>50</v>
      </c>
      <c r="K23"/>
      <c r="L23"/>
      <c r="M23"/>
      <c r="N23"/>
      <c r="O23"/>
      <c r="P23"/>
      <c r="Q23"/>
      <c r="R23"/>
      <c r="S23"/>
      <c r="T23"/>
    </row>
    <row r="24" ht="15" customHeight="1" spans="1:20" x14ac:dyDescent="0.25">
      <c r="A24" s="8">
        <v>10</v>
      </c>
      <c r="B24" s="8">
        <v>12</v>
      </c>
      <c r="C24" s="8">
        <v>8</v>
      </c>
      <c r="D24" s="8">
        <v>19</v>
      </c>
      <c r="E24" s="8" t="s">
        <v>27</v>
      </c>
      <c r="F24" s="18">
        <v>49</v>
      </c>
      <c r="G24" s="8" t="s">
        <v>103</v>
      </c>
      <c r="H24" s="8" t="s">
        <v>70</v>
      </c>
      <c r="I24" s="8" t="s">
        <v>124</v>
      </c>
      <c r="K24"/>
      <c r="L24"/>
      <c r="M24"/>
      <c r="N24"/>
      <c r="O24"/>
      <c r="P24"/>
      <c r="Q24"/>
      <c r="R24"/>
      <c r="S24"/>
      <c r="T24"/>
    </row>
    <row r="25" ht="13" customHeight="1" spans="1:20" x14ac:dyDescent="0.25">
      <c r="A25" s="19" t="s">
        <v>54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</row>
  </sheetData>
  <mergeCells count="17">
    <mergeCell ref="A1:T1"/>
    <mergeCell ref="A2:T2"/>
    <mergeCell ref="A3:T3"/>
    <mergeCell ref="A4:T4"/>
    <mergeCell ref="A5:T5"/>
    <mergeCell ref="A6:T6"/>
    <mergeCell ref="A7:T7"/>
    <mergeCell ref="A20:C20"/>
    <mergeCell ref="D20:E20"/>
    <mergeCell ref="F20:G20"/>
    <mergeCell ref="H20:I20"/>
    <mergeCell ref="J20:T20"/>
    <mergeCell ref="A21:T21"/>
    <mergeCell ref="A22:T22"/>
    <mergeCell ref="J23:T23"/>
    <mergeCell ref="J24:T24"/>
    <mergeCell ref="A25:T25"/>
  </mergeCells>
  <pageSetup orientation="landscape" fitToWidth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5FB4"/>
    <pageSetUpPr fitToPage="1"/>
  </sheetPr>
  <dimension ref="A1:T27"/>
  <sheetViews>
    <sheetView workbookViewId="0">
      <pane ySplit="8" topLeftCell="A9" activePane="bottomLeft" state="frozen"/>
      <selection pane="bottomLeft" activeCell="A9" sqref="A9"/>
    </sheetView>
  </sheetViews>
  <sheetFormatPr defaultRowHeight="15" outlineLevelRow="0" outlineLevelCol="0" x14ac:dyDescent="55"/>
  <cols>
    <col min="1" max="1" width="5" customWidth="1"/>
    <col min="2" max="2" width="14" customWidth="1"/>
    <col min="3" max="18" width="5" customWidth="1"/>
    <col min="19" max="20" width="6" customWidth="1"/>
  </cols>
  <sheetData>
    <row r="1" ht="22" customHeight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18" customHeight="1" spans="1:20" x14ac:dyDescent="0.25">
      <c r="A2" s="2" t="s">
        <v>125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0" customHeight="1" spans="1:20" x14ac:dyDescent="0.25">
      <c r="A3" s="3" t="s">
        <v>126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t="18" customHeight="1" spans="1:20" x14ac:dyDescent="0.25">
      <c r="A4" s="4" t="s">
        <v>127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ht="16" customHeight="1" spans="1:20" x14ac:dyDescent="0.25">
      <c r="A5" s="5" t="s">
        <v>128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ht="8" customHeight="1" spans="1:20" x14ac:dyDescent="0.2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</row>
    <row r="7" ht="20" customHeight="1" spans="1:20" x14ac:dyDescent="0.25">
      <c r="A7" s="6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ht="16" customHeight="1" spans="1:20" x14ac:dyDescent="0.25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  <c r="H8" s="7" t="s">
        <v>13</v>
      </c>
      <c r="I8" s="7" t="s">
        <v>14</v>
      </c>
      <c r="J8" s="7" t="s">
        <v>15</v>
      </c>
      <c r="K8" s="7" t="s">
        <v>16</v>
      </c>
      <c r="L8" s="7" t="s">
        <v>17</v>
      </c>
      <c r="M8" s="7" t="s">
        <v>18</v>
      </c>
      <c r="N8" s="7" t="s">
        <v>19</v>
      </c>
      <c r="O8" s="7" t="s">
        <v>20</v>
      </c>
      <c r="P8" s="7" t="s">
        <v>21</v>
      </c>
      <c r="Q8" s="7" t="s">
        <v>22</v>
      </c>
      <c r="R8" s="7" t="s">
        <v>23</v>
      </c>
      <c r="S8" s="7" t="s">
        <v>24</v>
      </c>
      <c r="T8" s="7" t="s">
        <v>25</v>
      </c>
    </row>
    <row r="9" ht="15" customHeight="1" spans="1:20" x14ac:dyDescent="0.25">
      <c r="A9" s="8">
        <v>11</v>
      </c>
      <c r="B9" s="9" t="s">
        <v>63</v>
      </c>
      <c r="C9" s="8" t="s">
        <v>27</v>
      </c>
      <c r="D9" s="8">
        <v>0</v>
      </c>
      <c r="E9" s="8">
        <v>0</v>
      </c>
      <c r="F9" s="8">
        <v>0</v>
      </c>
      <c r="G9" s="8">
        <v>1</v>
      </c>
      <c r="H9" s="8">
        <v>1</v>
      </c>
      <c r="I9" s="8">
        <v>1</v>
      </c>
      <c r="J9" s="8">
        <v>0</v>
      </c>
      <c r="K9" s="8">
        <v>3</v>
      </c>
      <c r="L9" s="8">
        <v>1</v>
      </c>
      <c r="M9" s="8">
        <v>2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f>D9*1+F9*2+H9*3</f>
      </c>
      <c r="T9" s="8">
        <v>5</v>
      </c>
    </row>
    <row r="10" ht="15" customHeight="1" spans="1:20" x14ac:dyDescent="0.25">
      <c r="A10" s="10">
        <v>22</v>
      </c>
      <c r="B10" s="11" t="s">
        <v>59</v>
      </c>
      <c r="C10" s="10" t="s">
        <v>27</v>
      </c>
      <c r="D10" s="10">
        <v>1</v>
      </c>
      <c r="E10" s="10">
        <v>4</v>
      </c>
      <c r="F10" s="10">
        <v>3</v>
      </c>
      <c r="G10" s="10">
        <v>4</v>
      </c>
      <c r="H10" s="10">
        <v>0</v>
      </c>
      <c r="I10" s="10">
        <v>1</v>
      </c>
      <c r="J10" s="10">
        <v>5</v>
      </c>
      <c r="K10" s="10">
        <v>0</v>
      </c>
      <c r="L10" s="10">
        <v>0</v>
      </c>
      <c r="M10" s="10">
        <v>2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f>D10*1+F10*2+H10*3</f>
      </c>
      <c r="T10" s="10">
        <v>4</v>
      </c>
    </row>
    <row r="11" ht="15" customHeight="1" spans="1:20" x14ac:dyDescent="0.25">
      <c r="A11" s="8">
        <v>8</v>
      </c>
      <c r="B11" s="9" t="s">
        <v>31</v>
      </c>
      <c r="C11" s="8" t="s">
        <v>27</v>
      </c>
      <c r="D11" s="8">
        <v>5</v>
      </c>
      <c r="E11" s="8">
        <v>2</v>
      </c>
      <c r="F11" s="8">
        <v>1</v>
      </c>
      <c r="G11" s="8">
        <v>4</v>
      </c>
      <c r="H11" s="8">
        <v>1</v>
      </c>
      <c r="I11" s="8">
        <v>1</v>
      </c>
      <c r="J11" s="8">
        <v>5</v>
      </c>
      <c r="K11" s="8">
        <v>4</v>
      </c>
      <c r="L11" s="8">
        <v>1</v>
      </c>
      <c r="M11" s="8">
        <v>2</v>
      </c>
      <c r="N11" s="8">
        <v>0</v>
      </c>
      <c r="O11" s="8">
        <v>0</v>
      </c>
      <c r="P11" s="8">
        <v>0</v>
      </c>
      <c r="Q11" s="8">
        <v>2</v>
      </c>
      <c r="R11" s="8">
        <v>0</v>
      </c>
      <c r="S11" s="8">
        <f>D11*1+F11*2+H11*3</f>
      </c>
      <c r="T11" s="8">
        <v>11</v>
      </c>
    </row>
    <row r="12" ht="15" customHeight="1" spans="1:20" x14ac:dyDescent="0.25">
      <c r="A12" s="10">
        <v>4</v>
      </c>
      <c r="B12" s="11" t="s">
        <v>30</v>
      </c>
      <c r="C12" s="10" t="s">
        <v>27</v>
      </c>
      <c r="D12" s="10">
        <v>0</v>
      </c>
      <c r="E12" s="10">
        <v>0</v>
      </c>
      <c r="F12" s="10">
        <v>0</v>
      </c>
      <c r="G12" s="10">
        <v>2</v>
      </c>
      <c r="H12" s="10">
        <v>0</v>
      </c>
      <c r="I12" s="10">
        <v>0</v>
      </c>
      <c r="J12" s="10">
        <v>0</v>
      </c>
      <c r="K12" s="10">
        <v>2</v>
      </c>
      <c r="L12" s="10">
        <v>0</v>
      </c>
      <c r="M12" s="10">
        <v>4</v>
      </c>
      <c r="N12" s="10">
        <v>0</v>
      </c>
      <c r="O12" s="10">
        <v>0</v>
      </c>
      <c r="P12" s="10">
        <v>0</v>
      </c>
      <c r="Q12" s="10">
        <v>1</v>
      </c>
      <c r="R12" s="10">
        <v>0</v>
      </c>
      <c r="S12" s="10">
        <f>D12*1+F12*2+H12*3</f>
      </c>
      <c r="T12" s="10">
        <v>-1</v>
      </c>
    </row>
    <row r="13" ht="15" customHeight="1" spans="1:20" x14ac:dyDescent="0.25">
      <c r="A13" s="8">
        <v>43</v>
      </c>
      <c r="B13" s="9" t="s">
        <v>62</v>
      </c>
      <c r="C13" s="8" t="s">
        <v>27</v>
      </c>
      <c r="D13" s="8">
        <v>2</v>
      </c>
      <c r="E13" s="8">
        <v>1</v>
      </c>
      <c r="F13" s="8">
        <v>10</v>
      </c>
      <c r="G13" s="8">
        <v>6</v>
      </c>
      <c r="H13" s="8">
        <v>0</v>
      </c>
      <c r="I13" s="8">
        <v>0</v>
      </c>
      <c r="J13" s="8">
        <v>3</v>
      </c>
      <c r="K13" s="8">
        <v>8</v>
      </c>
      <c r="L13" s="8">
        <v>2</v>
      </c>
      <c r="M13" s="8">
        <v>2</v>
      </c>
      <c r="N13" s="8">
        <v>0</v>
      </c>
      <c r="O13" s="8">
        <v>0</v>
      </c>
      <c r="P13" s="8">
        <v>0</v>
      </c>
      <c r="Q13" s="8">
        <v>1</v>
      </c>
      <c r="R13" s="8">
        <v>0</v>
      </c>
      <c r="S13" s="8">
        <f>D13*1+F13*2+H13*3</f>
      </c>
      <c r="T13" s="8">
        <v>27</v>
      </c>
    </row>
    <row r="14" ht="15" customHeight="1" spans="1:20" x14ac:dyDescent="0.25">
      <c r="A14" s="10">
        <v>14</v>
      </c>
      <c r="B14" s="11" t="s">
        <v>28</v>
      </c>
      <c r="C14" s="10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1</v>
      </c>
      <c r="R14" s="10">
        <v>0</v>
      </c>
      <c r="S14" s="10">
        <f>D14*1+F14*2+H14*3</f>
      </c>
      <c r="T14" s="10">
        <v>-1</v>
      </c>
    </row>
    <row r="15" ht="15" customHeight="1" spans="1:20" x14ac:dyDescent="0.25">
      <c r="A15" s="8">
        <v>24</v>
      </c>
      <c r="B15" s="9" t="s">
        <v>32</v>
      </c>
      <c r="C15" s="8" t="s">
        <v>27</v>
      </c>
      <c r="D15" s="8">
        <v>0</v>
      </c>
      <c r="E15" s="8">
        <v>0</v>
      </c>
      <c r="F15" s="8">
        <v>1</v>
      </c>
      <c r="G15" s="8">
        <v>1</v>
      </c>
      <c r="H15" s="8">
        <v>0</v>
      </c>
      <c r="I15" s="8">
        <v>2</v>
      </c>
      <c r="J15" s="8">
        <v>0</v>
      </c>
      <c r="K15" s="8">
        <v>3</v>
      </c>
      <c r="L15" s="8">
        <v>1</v>
      </c>
      <c r="M15" s="8">
        <v>1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f>D15*1+F15*2+H15*3</f>
      </c>
      <c r="T15" s="8">
        <v>3</v>
      </c>
    </row>
    <row r="16" ht="15" customHeight="1" spans="1:20" x14ac:dyDescent="0.25">
      <c r="A16" s="10">
        <v>21</v>
      </c>
      <c r="B16" s="11" t="s">
        <v>33</v>
      </c>
      <c r="C16" s="10" t="s">
        <v>27</v>
      </c>
      <c r="D16" s="10">
        <v>0</v>
      </c>
      <c r="E16" s="10">
        <v>0</v>
      </c>
      <c r="F16" s="10">
        <v>0</v>
      </c>
      <c r="G16" s="10">
        <v>1</v>
      </c>
      <c r="H16" s="10">
        <v>0</v>
      </c>
      <c r="I16" s="10">
        <v>0</v>
      </c>
      <c r="J16" s="10">
        <v>0</v>
      </c>
      <c r="K16" s="10">
        <v>0</v>
      </c>
      <c r="L16" s="10">
        <v>1</v>
      </c>
      <c r="M16" s="10">
        <v>1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f>D16*1+F16*2+H16*3</f>
      </c>
      <c r="T16" s="10">
        <v>0</v>
      </c>
    </row>
    <row r="17" ht="15" customHeight="1" spans="1:20" x14ac:dyDescent="0.25">
      <c r="A17" s="8">
        <v>13</v>
      </c>
      <c r="B17" s="9" t="s">
        <v>34</v>
      </c>
      <c r="C17" s="8" t="s">
        <v>27</v>
      </c>
      <c r="D17" s="8">
        <v>0</v>
      </c>
      <c r="E17" s="8">
        <v>0</v>
      </c>
      <c r="F17" s="8">
        <v>0</v>
      </c>
      <c r="G17" s="8">
        <v>1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f>D17*1+F17*2+H17*3</f>
      </c>
      <c r="T17" s="8">
        <v>-1</v>
      </c>
    </row>
    <row r="18" ht="15" customHeight="1" spans="1:20" x14ac:dyDescent="0.25">
      <c r="A18" s="10">
        <v>10</v>
      </c>
      <c r="B18" s="11" t="s">
        <v>60</v>
      </c>
      <c r="C18" s="10" t="s">
        <v>27</v>
      </c>
      <c r="D18" s="10">
        <v>0</v>
      </c>
      <c r="E18" s="10">
        <v>0</v>
      </c>
      <c r="F18" s="10">
        <v>1</v>
      </c>
      <c r="G18" s="10">
        <v>3</v>
      </c>
      <c r="H18" s="10">
        <v>0</v>
      </c>
      <c r="I18" s="10">
        <v>2</v>
      </c>
      <c r="J18" s="10">
        <v>0</v>
      </c>
      <c r="K18" s="10">
        <v>4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1</v>
      </c>
      <c r="R18" s="10">
        <v>0</v>
      </c>
      <c r="S18" s="10">
        <f>D18*1+F18*2+H18*3</f>
      </c>
      <c r="T18" s="10">
        <v>2</v>
      </c>
    </row>
    <row r="19" ht="15" customHeight="1" spans="1:20" x14ac:dyDescent="0.25">
      <c r="A19" s="8">
        <v>9</v>
      </c>
      <c r="B19" s="9" t="s">
        <v>77</v>
      </c>
      <c r="C19" s="8" t="s">
        <v>27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f>D19*1+F19*2+H19*3</f>
      </c>
      <c r="T19" s="8">
        <v>0</v>
      </c>
    </row>
    <row r="20" ht="15" customHeight="1" spans="1:20" x14ac:dyDescent="0.25">
      <c r="A20" s="10">
        <v>0</v>
      </c>
      <c r="B20" s="11" t="s">
        <v>129</v>
      </c>
      <c r="C20" s="10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f>D20*1+F20*2+H20*3</f>
      </c>
      <c r="T20" s="10">
        <v>0</v>
      </c>
    </row>
    <row r="21" ht="16" customHeight="1" spans="1:20" x14ac:dyDescent="0.25">
      <c r="A21" s="12" t="s">
        <v>27</v>
      </c>
      <c r="B21" s="13" t="s">
        <v>36</v>
      </c>
      <c r="C21" s="12" t="s">
        <v>27</v>
      </c>
      <c r="D21" s="12">
        <f>SUM(D9:D20)</f>
      </c>
      <c r="E21" s="12">
        <f>SUM(E9:E20)</f>
      </c>
      <c r="F21" s="12">
        <f>SUM(F9:F20)</f>
      </c>
      <c r="G21" s="12">
        <f>SUM(G9:G20)</f>
      </c>
      <c r="H21" s="12">
        <f>SUM(H9:H20)</f>
      </c>
      <c r="I21" s="12">
        <f>SUM(I9:I20)</f>
      </c>
      <c r="J21" s="12">
        <f>SUM(J9:J20)</f>
      </c>
      <c r="K21" s="12">
        <f>SUM(K9:K20)</f>
      </c>
      <c r="L21" s="12">
        <f>SUM(L9:L20)</f>
      </c>
      <c r="M21" s="12">
        <f>SUM(M9:M20)</f>
      </c>
      <c r="N21" s="12">
        <f>SUM(N9:N20)</f>
      </c>
      <c r="O21" s="12">
        <f>SUM(O9:O20)</f>
      </c>
      <c r="P21" s="12">
        <f>SUM(P9:P20)</f>
      </c>
      <c r="Q21" s="12">
        <f>SUM(Q9:Q20)</f>
      </c>
      <c r="R21" s="12">
        <f>SUM(R9:R20)</f>
      </c>
      <c r="S21" s="12">
        <f>SUM(S9:S20)</f>
      </c>
      <c r="T21" s="12" t="s">
        <v>27</v>
      </c>
    </row>
    <row r="22" ht="14" customHeight="1" spans="1:20" x14ac:dyDescent="0.25">
      <c r="A22" s="14" t="s">
        <v>37</v>
      </c>
      <c r="B22" s="14"/>
      <c r="C22" s="14"/>
      <c r="D22" s="15" t="s">
        <v>88</v>
      </c>
      <c r="E22" s="15"/>
      <c r="F22" s="15" t="s">
        <v>130</v>
      </c>
      <c r="G22" s="15"/>
      <c r="H22" s="15" t="s">
        <v>131</v>
      </c>
      <c r="I22" s="15"/>
      <c r="K22"/>
      <c r="L22"/>
      <c r="M22"/>
      <c r="N22"/>
      <c r="O22"/>
      <c r="P22"/>
      <c r="Q22"/>
      <c r="R22"/>
      <c r="S22"/>
      <c r="T22"/>
    </row>
    <row r="23" ht="10" customHeight="1" spans="1:20" x14ac:dyDescent="0.25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ht="20" customHeight="1" spans="1:20" x14ac:dyDescent="0.25">
      <c r="A24" s="16" t="s">
        <v>132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</row>
    <row r="25" ht="16" customHeight="1" spans="1:20" x14ac:dyDescent="0.25">
      <c r="A25" s="17" t="s">
        <v>42</v>
      </c>
      <c r="B25" s="17" t="s">
        <v>43</v>
      </c>
      <c r="C25" s="17" t="s">
        <v>44</v>
      </c>
      <c r="D25" s="17" t="s">
        <v>45</v>
      </c>
      <c r="E25" s="17" t="s">
        <v>46</v>
      </c>
      <c r="F25" s="17" t="s">
        <v>47</v>
      </c>
      <c r="G25" s="17" t="s">
        <v>48</v>
      </c>
      <c r="H25" s="17" t="s">
        <v>49</v>
      </c>
      <c r="I25" s="17" t="s">
        <v>50</v>
      </c>
      <c r="K25"/>
      <c r="L25"/>
      <c r="M25"/>
      <c r="N25"/>
      <c r="O25"/>
      <c r="P25"/>
      <c r="Q25"/>
      <c r="R25"/>
      <c r="S25"/>
      <c r="T25"/>
    </row>
    <row r="26" ht="15" customHeight="1" spans="1:20" x14ac:dyDescent="0.25">
      <c r="A26" s="8">
        <v>19</v>
      </c>
      <c r="B26" s="8">
        <v>9</v>
      </c>
      <c r="C26" s="8">
        <v>14</v>
      </c>
      <c r="D26" s="8">
        <v>14</v>
      </c>
      <c r="E26" s="8" t="s">
        <v>27</v>
      </c>
      <c r="F26" s="18">
        <v>56</v>
      </c>
      <c r="G26" s="8" t="s">
        <v>133</v>
      </c>
      <c r="H26" s="8" t="s">
        <v>134</v>
      </c>
      <c r="I26" s="8" t="s">
        <v>94</v>
      </c>
      <c r="K26"/>
      <c r="L26"/>
      <c r="M26"/>
      <c r="N26"/>
      <c r="O26"/>
      <c r="P26"/>
      <c r="Q26"/>
      <c r="R26"/>
      <c r="S26"/>
      <c r="T26"/>
    </row>
    <row r="27" ht="13" customHeight="1" spans="1:20" x14ac:dyDescent="0.25">
      <c r="A27" s="19" t="s">
        <v>54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</sheetData>
  <mergeCells count="17">
    <mergeCell ref="A1:T1"/>
    <mergeCell ref="A2:T2"/>
    <mergeCell ref="A3:T3"/>
    <mergeCell ref="A4:T4"/>
    <mergeCell ref="A5:T5"/>
    <mergeCell ref="A6:T6"/>
    <mergeCell ref="A7:T7"/>
    <mergeCell ref="A22:C22"/>
    <mergeCell ref="D22:E22"/>
    <mergeCell ref="F22:G22"/>
    <mergeCell ref="H22:I22"/>
    <mergeCell ref="J22:T22"/>
    <mergeCell ref="A23:T23"/>
    <mergeCell ref="A24:T24"/>
    <mergeCell ref="J25:T25"/>
    <mergeCell ref="J26:T26"/>
    <mergeCell ref="A27:T27"/>
  </mergeCells>
  <pageSetup orientation="landscape" fitToWidth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  <pageSetUpPr fitToPage="1"/>
  </sheetPr>
  <dimension ref="A1:T30"/>
  <sheetViews>
    <sheetView workbookViewId="0">
      <pane ySplit="8" topLeftCell="A9" activePane="bottomLeft" state="frozen"/>
      <selection pane="bottomLeft" activeCell="A9" sqref="A9"/>
    </sheetView>
  </sheetViews>
  <sheetFormatPr defaultRowHeight="15" outlineLevelRow="0" outlineLevelCol="0" x14ac:dyDescent="55"/>
  <cols>
    <col min="1" max="1" width="5" customWidth="1"/>
    <col min="2" max="2" width="14" customWidth="1"/>
    <col min="3" max="18" width="5" customWidth="1"/>
    <col min="19" max="20" width="6" customWidth="1"/>
  </cols>
  <sheetData>
    <row r="1" ht="22" customHeight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18" customHeight="1" spans="1:20" x14ac:dyDescent="0.25">
      <c r="A2" s="2" t="s">
        <v>135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0" customHeight="1" spans="1:20" x14ac:dyDescent="0.25">
      <c r="A3" s="3" t="s">
        <v>136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t="18" customHeight="1" spans="1:20" x14ac:dyDescent="0.25">
      <c r="A4" s="20" t="s">
        <v>137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</row>
    <row r="5" ht="16" customHeight="1" spans="1:20" x14ac:dyDescent="0.25">
      <c r="A5" s="5" t="s">
        <v>138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ht="8" customHeight="1" spans="1:20" x14ac:dyDescent="0.2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</row>
    <row r="7" ht="20" customHeight="1" spans="1:20" x14ac:dyDescent="0.25">
      <c r="A7" s="6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ht="16" customHeight="1" spans="1:20" x14ac:dyDescent="0.25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  <c r="H8" s="7" t="s">
        <v>13</v>
      </c>
      <c r="I8" s="7" t="s">
        <v>14</v>
      </c>
      <c r="J8" s="7" t="s">
        <v>15</v>
      </c>
      <c r="K8" s="7" t="s">
        <v>16</v>
      </c>
      <c r="L8" s="7" t="s">
        <v>17</v>
      </c>
      <c r="M8" s="7" t="s">
        <v>18</v>
      </c>
      <c r="N8" s="7" t="s">
        <v>19</v>
      </c>
      <c r="O8" s="7" t="s">
        <v>20</v>
      </c>
      <c r="P8" s="7" t="s">
        <v>21</v>
      </c>
      <c r="Q8" s="7" t="s">
        <v>22</v>
      </c>
      <c r="R8" s="7" t="s">
        <v>23</v>
      </c>
      <c r="S8" s="7" t="s">
        <v>24</v>
      </c>
      <c r="T8" s="7" t="s">
        <v>25</v>
      </c>
    </row>
    <row r="9" ht="15" customHeight="1" spans="1:20" x14ac:dyDescent="0.25">
      <c r="A9" s="8" t="s">
        <v>27</v>
      </c>
      <c r="B9" s="9" t="s">
        <v>27</v>
      </c>
      <c r="C9" s="8" t="s">
        <v>27</v>
      </c>
      <c r="D9" s="8" t="s">
        <v>27</v>
      </c>
      <c r="E9" s="8" t="s">
        <v>27</v>
      </c>
      <c r="F9" s="8" t="s">
        <v>27</v>
      </c>
      <c r="G9" s="8" t="s">
        <v>27</v>
      </c>
      <c r="H9" s="8" t="s">
        <v>27</v>
      </c>
      <c r="I9" s="8" t="s">
        <v>27</v>
      </c>
      <c r="J9" s="8" t="s">
        <v>27</v>
      </c>
      <c r="K9" s="8" t="s">
        <v>27</v>
      </c>
      <c r="L9" s="8" t="s">
        <v>27</v>
      </c>
      <c r="M9" s="8" t="s">
        <v>27</v>
      </c>
      <c r="N9" s="8" t="s">
        <v>27</v>
      </c>
      <c r="O9" s="8" t="s">
        <v>27</v>
      </c>
      <c r="P9" s="8" t="s">
        <v>27</v>
      </c>
      <c r="Q9" s="8" t="s">
        <v>27</v>
      </c>
      <c r="R9" s="8" t="s">
        <v>27</v>
      </c>
      <c r="S9" s="8">
        <f>D9*1+F9*2+H9*3</f>
      </c>
      <c r="T9" s="8" t="s">
        <v>27</v>
      </c>
    </row>
    <row r="10" ht="15" customHeight="1" spans="1:20" x14ac:dyDescent="0.25">
      <c r="A10" s="10" t="s">
        <v>27</v>
      </c>
      <c r="B10" s="11" t="s">
        <v>27</v>
      </c>
      <c r="C10" s="10" t="s">
        <v>27</v>
      </c>
      <c r="D10" s="10" t="s">
        <v>27</v>
      </c>
      <c r="E10" s="10" t="s">
        <v>27</v>
      </c>
      <c r="F10" s="10" t="s">
        <v>27</v>
      </c>
      <c r="G10" s="10" t="s">
        <v>27</v>
      </c>
      <c r="H10" s="10" t="s">
        <v>27</v>
      </c>
      <c r="I10" s="10" t="s">
        <v>27</v>
      </c>
      <c r="J10" s="10" t="s">
        <v>27</v>
      </c>
      <c r="K10" s="10" t="s">
        <v>27</v>
      </c>
      <c r="L10" s="10" t="s">
        <v>27</v>
      </c>
      <c r="M10" s="10" t="s">
        <v>27</v>
      </c>
      <c r="N10" s="10" t="s">
        <v>27</v>
      </c>
      <c r="O10" s="10" t="s">
        <v>27</v>
      </c>
      <c r="P10" s="10" t="s">
        <v>27</v>
      </c>
      <c r="Q10" s="10" t="s">
        <v>27</v>
      </c>
      <c r="R10" s="10" t="s">
        <v>27</v>
      </c>
      <c r="S10" s="10">
        <f>D10*1+F10*2+H10*3</f>
      </c>
      <c r="T10" s="10" t="s">
        <v>27</v>
      </c>
    </row>
    <row r="11" ht="15" customHeight="1" spans="1:20" x14ac:dyDescent="0.25">
      <c r="A11" s="8" t="s">
        <v>27</v>
      </c>
      <c r="B11" s="9" t="s">
        <v>27</v>
      </c>
      <c r="C11" s="8" t="s">
        <v>27</v>
      </c>
      <c r="D11" s="8" t="s">
        <v>27</v>
      </c>
      <c r="E11" s="8" t="s">
        <v>27</v>
      </c>
      <c r="F11" s="8" t="s">
        <v>27</v>
      </c>
      <c r="G11" s="8" t="s">
        <v>27</v>
      </c>
      <c r="H11" s="8" t="s">
        <v>27</v>
      </c>
      <c r="I11" s="8" t="s">
        <v>27</v>
      </c>
      <c r="J11" s="8" t="s">
        <v>27</v>
      </c>
      <c r="K11" s="8" t="s">
        <v>27</v>
      </c>
      <c r="L11" s="8" t="s">
        <v>27</v>
      </c>
      <c r="M11" s="8" t="s">
        <v>27</v>
      </c>
      <c r="N11" s="8" t="s">
        <v>27</v>
      </c>
      <c r="O11" s="8" t="s">
        <v>27</v>
      </c>
      <c r="P11" s="8" t="s">
        <v>27</v>
      </c>
      <c r="Q11" s="8" t="s">
        <v>27</v>
      </c>
      <c r="R11" s="8" t="s">
        <v>27</v>
      </c>
      <c r="S11" s="8">
        <f>D11*1+F11*2+H11*3</f>
      </c>
      <c r="T11" s="8" t="s">
        <v>27</v>
      </c>
    </row>
    <row r="12" ht="15" customHeight="1" spans="1:20" x14ac:dyDescent="0.25">
      <c r="A12" s="10" t="s">
        <v>27</v>
      </c>
      <c r="B12" s="11" t="s">
        <v>27</v>
      </c>
      <c r="C12" s="10" t="s">
        <v>27</v>
      </c>
      <c r="D12" s="10" t="s">
        <v>27</v>
      </c>
      <c r="E12" s="10" t="s">
        <v>27</v>
      </c>
      <c r="F12" s="10" t="s">
        <v>27</v>
      </c>
      <c r="G12" s="10" t="s">
        <v>27</v>
      </c>
      <c r="H12" s="10" t="s">
        <v>27</v>
      </c>
      <c r="I12" s="10" t="s">
        <v>27</v>
      </c>
      <c r="J12" s="10" t="s">
        <v>27</v>
      </c>
      <c r="K12" s="10" t="s">
        <v>27</v>
      </c>
      <c r="L12" s="10" t="s">
        <v>27</v>
      </c>
      <c r="M12" s="10" t="s">
        <v>27</v>
      </c>
      <c r="N12" s="10" t="s">
        <v>27</v>
      </c>
      <c r="O12" s="10" t="s">
        <v>27</v>
      </c>
      <c r="P12" s="10" t="s">
        <v>27</v>
      </c>
      <c r="Q12" s="10" t="s">
        <v>27</v>
      </c>
      <c r="R12" s="10" t="s">
        <v>27</v>
      </c>
      <c r="S12" s="10">
        <f>D12*1+F12*2+H12*3</f>
      </c>
      <c r="T12" s="10" t="s">
        <v>27</v>
      </c>
    </row>
    <row r="13" ht="15" customHeight="1" spans="1:20" x14ac:dyDescent="0.25">
      <c r="A13" s="8" t="s">
        <v>27</v>
      </c>
      <c r="B13" s="9" t="s">
        <v>27</v>
      </c>
      <c r="C13" s="8" t="s">
        <v>27</v>
      </c>
      <c r="D13" s="8" t="s">
        <v>27</v>
      </c>
      <c r="E13" s="8" t="s">
        <v>27</v>
      </c>
      <c r="F13" s="8" t="s">
        <v>27</v>
      </c>
      <c r="G13" s="8" t="s">
        <v>27</v>
      </c>
      <c r="H13" s="8" t="s">
        <v>27</v>
      </c>
      <c r="I13" s="8" t="s">
        <v>27</v>
      </c>
      <c r="J13" s="8" t="s">
        <v>27</v>
      </c>
      <c r="K13" s="8" t="s">
        <v>27</v>
      </c>
      <c r="L13" s="8" t="s">
        <v>27</v>
      </c>
      <c r="M13" s="8" t="s">
        <v>27</v>
      </c>
      <c r="N13" s="8" t="s">
        <v>27</v>
      </c>
      <c r="O13" s="8" t="s">
        <v>27</v>
      </c>
      <c r="P13" s="8" t="s">
        <v>27</v>
      </c>
      <c r="Q13" s="8" t="s">
        <v>27</v>
      </c>
      <c r="R13" s="8" t="s">
        <v>27</v>
      </c>
      <c r="S13" s="8">
        <f>D13*1+F13*2+H13*3</f>
      </c>
      <c r="T13" s="8" t="s">
        <v>27</v>
      </c>
    </row>
    <row r="14" ht="15" customHeight="1" spans="1:20" x14ac:dyDescent="0.25">
      <c r="A14" s="10" t="s">
        <v>27</v>
      </c>
      <c r="B14" s="11" t="s">
        <v>27</v>
      </c>
      <c r="C14" s="10" t="s">
        <v>27</v>
      </c>
      <c r="D14" s="10" t="s">
        <v>27</v>
      </c>
      <c r="E14" s="10" t="s">
        <v>27</v>
      </c>
      <c r="F14" s="10" t="s">
        <v>27</v>
      </c>
      <c r="G14" s="10" t="s">
        <v>27</v>
      </c>
      <c r="H14" s="10" t="s">
        <v>27</v>
      </c>
      <c r="I14" s="10" t="s">
        <v>27</v>
      </c>
      <c r="J14" s="10" t="s">
        <v>27</v>
      </c>
      <c r="K14" s="10" t="s">
        <v>27</v>
      </c>
      <c r="L14" s="10" t="s">
        <v>27</v>
      </c>
      <c r="M14" s="10" t="s">
        <v>27</v>
      </c>
      <c r="N14" s="10" t="s">
        <v>27</v>
      </c>
      <c r="O14" s="10" t="s">
        <v>27</v>
      </c>
      <c r="P14" s="10" t="s">
        <v>27</v>
      </c>
      <c r="Q14" s="10" t="s">
        <v>27</v>
      </c>
      <c r="R14" s="10" t="s">
        <v>27</v>
      </c>
      <c r="S14" s="10">
        <f>D14*1+F14*2+H14*3</f>
      </c>
      <c r="T14" s="10" t="s">
        <v>27</v>
      </c>
    </row>
    <row r="15" ht="15" customHeight="1" spans="1:20" x14ac:dyDescent="0.25">
      <c r="A15" s="8" t="s">
        <v>27</v>
      </c>
      <c r="B15" s="9" t="s">
        <v>27</v>
      </c>
      <c r="C15" s="8" t="s">
        <v>27</v>
      </c>
      <c r="D15" s="8" t="s">
        <v>27</v>
      </c>
      <c r="E15" s="8" t="s">
        <v>27</v>
      </c>
      <c r="F15" s="8" t="s">
        <v>27</v>
      </c>
      <c r="G15" s="8" t="s">
        <v>27</v>
      </c>
      <c r="H15" s="8" t="s">
        <v>27</v>
      </c>
      <c r="I15" s="8" t="s">
        <v>27</v>
      </c>
      <c r="J15" s="8" t="s">
        <v>27</v>
      </c>
      <c r="K15" s="8" t="s">
        <v>27</v>
      </c>
      <c r="L15" s="8" t="s">
        <v>27</v>
      </c>
      <c r="M15" s="8" t="s">
        <v>27</v>
      </c>
      <c r="N15" s="8" t="s">
        <v>27</v>
      </c>
      <c r="O15" s="8" t="s">
        <v>27</v>
      </c>
      <c r="P15" s="8" t="s">
        <v>27</v>
      </c>
      <c r="Q15" s="8" t="s">
        <v>27</v>
      </c>
      <c r="R15" s="8" t="s">
        <v>27</v>
      </c>
      <c r="S15" s="8">
        <f>D15*1+F15*2+H15*3</f>
      </c>
      <c r="T15" s="8" t="s">
        <v>27</v>
      </c>
    </row>
    <row r="16" ht="15" customHeight="1" spans="1:20" x14ac:dyDescent="0.25">
      <c r="A16" s="10" t="s">
        <v>27</v>
      </c>
      <c r="B16" s="11" t="s">
        <v>27</v>
      </c>
      <c r="C16" s="10" t="s">
        <v>27</v>
      </c>
      <c r="D16" s="10" t="s">
        <v>27</v>
      </c>
      <c r="E16" s="10" t="s">
        <v>27</v>
      </c>
      <c r="F16" s="10" t="s">
        <v>27</v>
      </c>
      <c r="G16" s="10" t="s">
        <v>27</v>
      </c>
      <c r="H16" s="10" t="s">
        <v>27</v>
      </c>
      <c r="I16" s="10" t="s">
        <v>27</v>
      </c>
      <c r="J16" s="10" t="s">
        <v>27</v>
      </c>
      <c r="K16" s="10" t="s">
        <v>27</v>
      </c>
      <c r="L16" s="10" t="s">
        <v>27</v>
      </c>
      <c r="M16" s="10" t="s">
        <v>27</v>
      </c>
      <c r="N16" s="10" t="s">
        <v>27</v>
      </c>
      <c r="O16" s="10" t="s">
        <v>27</v>
      </c>
      <c r="P16" s="10" t="s">
        <v>27</v>
      </c>
      <c r="Q16" s="10" t="s">
        <v>27</v>
      </c>
      <c r="R16" s="10" t="s">
        <v>27</v>
      </c>
      <c r="S16" s="10">
        <f>D16*1+F16*2+H16*3</f>
      </c>
      <c r="T16" s="10" t="s">
        <v>27</v>
      </c>
    </row>
    <row r="17" ht="15" customHeight="1" spans="1:20" x14ac:dyDescent="0.25">
      <c r="A17" s="8" t="s">
        <v>27</v>
      </c>
      <c r="B17" s="9" t="s">
        <v>27</v>
      </c>
      <c r="C17" s="8" t="s">
        <v>27</v>
      </c>
      <c r="D17" s="8" t="s">
        <v>27</v>
      </c>
      <c r="E17" s="8" t="s">
        <v>27</v>
      </c>
      <c r="F17" s="8" t="s">
        <v>27</v>
      </c>
      <c r="G17" s="8" t="s">
        <v>27</v>
      </c>
      <c r="H17" s="8" t="s">
        <v>27</v>
      </c>
      <c r="I17" s="8" t="s">
        <v>27</v>
      </c>
      <c r="J17" s="8" t="s">
        <v>27</v>
      </c>
      <c r="K17" s="8" t="s">
        <v>27</v>
      </c>
      <c r="L17" s="8" t="s">
        <v>27</v>
      </c>
      <c r="M17" s="8" t="s">
        <v>27</v>
      </c>
      <c r="N17" s="8" t="s">
        <v>27</v>
      </c>
      <c r="O17" s="8" t="s">
        <v>27</v>
      </c>
      <c r="P17" s="8" t="s">
        <v>27</v>
      </c>
      <c r="Q17" s="8" t="s">
        <v>27</v>
      </c>
      <c r="R17" s="8" t="s">
        <v>27</v>
      </c>
      <c r="S17" s="8">
        <f>D17*1+F17*2+H17*3</f>
      </c>
      <c r="T17" s="8" t="s">
        <v>27</v>
      </c>
    </row>
    <row r="18" ht="15" customHeight="1" spans="1:20" x14ac:dyDescent="0.25">
      <c r="A18" s="10" t="s">
        <v>27</v>
      </c>
      <c r="B18" s="11" t="s">
        <v>27</v>
      </c>
      <c r="C18" s="10" t="s">
        <v>27</v>
      </c>
      <c r="D18" s="10" t="s">
        <v>27</v>
      </c>
      <c r="E18" s="10" t="s">
        <v>27</v>
      </c>
      <c r="F18" s="10" t="s">
        <v>27</v>
      </c>
      <c r="G18" s="10" t="s">
        <v>27</v>
      </c>
      <c r="H18" s="10" t="s">
        <v>27</v>
      </c>
      <c r="I18" s="10" t="s">
        <v>27</v>
      </c>
      <c r="J18" s="10" t="s">
        <v>27</v>
      </c>
      <c r="K18" s="10" t="s">
        <v>27</v>
      </c>
      <c r="L18" s="10" t="s">
        <v>27</v>
      </c>
      <c r="M18" s="10" t="s">
        <v>27</v>
      </c>
      <c r="N18" s="10" t="s">
        <v>27</v>
      </c>
      <c r="O18" s="10" t="s">
        <v>27</v>
      </c>
      <c r="P18" s="10" t="s">
        <v>27</v>
      </c>
      <c r="Q18" s="10" t="s">
        <v>27</v>
      </c>
      <c r="R18" s="10" t="s">
        <v>27</v>
      </c>
      <c r="S18" s="10">
        <f>D18*1+F18*2+H18*3</f>
      </c>
      <c r="T18" s="10" t="s">
        <v>27</v>
      </c>
    </row>
    <row r="19" ht="15" customHeight="1" spans="1:20" x14ac:dyDescent="0.25">
      <c r="A19" s="8" t="s">
        <v>27</v>
      </c>
      <c r="B19" s="9" t="s">
        <v>27</v>
      </c>
      <c r="C19" s="8" t="s">
        <v>27</v>
      </c>
      <c r="D19" s="8" t="s">
        <v>27</v>
      </c>
      <c r="E19" s="8" t="s">
        <v>27</v>
      </c>
      <c r="F19" s="8" t="s">
        <v>27</v>
      </c>
      <c r="G19" s="8" t="s">
        <v>27</v>
      </c>
      <c r="H19" s="8" t="s">
        <v>27</v>
      </c>
      <c r="I19" s="8" t="s">
        <v>27</v>
      </c>
      <c r="J19" s="8" t="s">
        <v>27</v>
      </c>
      <c r="K19" s="8" t="s">
        <v>27</v>
      </c>
      <c r="L19" s="8" t="s">
        <v>27</v>
      </c>
      <c r="M19" s="8" t="s">
        <v>27</v>
      </c>
      <c r="N19" s="8" t="s">
        <v>27</v>
      </c>
      <c r="O19" s="8" t="s">
        <v>27</v>
      </c>
      <c r="P19" s="8" t="s">
        <v>27</v>
      </c>
      <c r="Q19" s="8" t="s">
        <v>27</v>
      </c>
      <c r="R19" s="8" t="s">
        <v>27</v>
      </c>
      <c r="S19" s="8">
        <f>D19*1+F19*2+H19*3</f>
      </c>
      <c r="T19" s="8" t="s">
        <v>27</v>
      </c>
    </row>
    <row r="20" ht="15" customHeight="1" spans="1:20" x14ac:dyDescent="0.25">
      <c r="A20" s="10" t="s">
        <v>27</v>
      </c>
      <c r="B20" s="11" t="s">
        <v>27</v>
      </c>
      <c r="C20" s="10" t="s">
        <v>27</v>
      </c>
      <c r="D20" s="10" t="s">
        <v>27</v>
      </c>
      <c r="E20" s="10" t="s">
        <v>27</v>
      </c>
      <c r="F20" s="10" t="s">
        <v>27</v>
      </c>
      <c r="G20" s="10" t="s">
        <v>27</v>
      </c>
      <c r="H20" s="10" t="s">
        <v>27</v>
      </c>
      <c r="I20" s="10" t="s">
        <v>27</v>
      </c>
      <c r="J20" s="10" t="s">
        <v>27</v>
      </c>
      <c r="K20" s="10" t="s">
        <v>27</v>
      </c>
      <c r="L20" s="10" t="s">
        <v>27</v>
      </c>
      <c r="M20" s="10" t="s">
        <v>27</v>
      </c>
      <c r="N20" s="10" t="s">
        <v>27</v>
      </c>
      <c r="O20" s="10" t="s">
        <v>27</v>
      </c>
      <c r="P20" s="10" t="s">
        <v>27</v>
      </c>
      <c r="Q20" s="10" t="s">
        <v>27</v>
      </c>
      <c r="R20" s="10" t="s">
        <v>27</v>
      </c>
      <c r="S20" s="10">
        <f>D20*1+F20*2+H20*3</f>
      </c>
      <c r="T20" s="10" t="s">
        <v>27</v>
      </c>
    </row>
    <row r="21" ht="15" customHeight="1" spans="1:20" x14ac:dyDescent="0.25">
      <c r="A21" s="8" t="s">
        <v>27</v>
      </c>
      <c r="B21" s="9" t="s">
        <v>27</v>
      </c>
      <c r="C21" s="8" t="s">
        <v>27</v>
      </c>
      <c r="D21" s="8" t="s">
        <v>27</v>
      </c>
      <c r="E21" s="8" t="s">
        <v>27</v>
      </c>
      <c r="F21" s="8" t="s">
        <v>27</v>
      </c>
      <c r="G21" s="8" t="s">
        <v>27</v>
      </c>
      <c r="H21" s="8" t="s">
        <v>27</v>
      </c>
      <c r="I21" s="8" t="s">
        <v>27</v>
      </c>
      <c r="J21" s="8" t="s">
        <v>27</v>
      </c>
      <c r="K21" s="8" t="s">
        <v>27</v>
      </c>
      <c r="L21" s="8" t="s">
        <v>27</v>
      </c>
      <c r="M21" s="8" t="s">
        <v>27</v>
      </c>
      <c r="N21" s="8" t="s">
        <v>27</v>
      </c>
      <c r="O21" s="8" t="s">
        <v>27</v>
      </c>
      <c r="P21" s="8" t="s">
        <v>27</v>
      </c>
      <c r="Q21" s="8" t="s">
        <v>27</v>
      </c>
      <c r="R21" s="8" t="s">
        <v>27</v>
      </c>
      <c r="S21" s="8">
        <f>D21*1+F21*2+H21*3</f>
      </c>
      <c r="T21" s="8" t="s">
        <v>27</v>
      </c>
    </row>
    <row r="22" ht="15" customHeight="1" spans="1:20" x14ac:dyDescent="0.25">
      <c r="A22" s="10" t="s">
        <v>27</v>
      </c>
      <c r="B22" s="11" t="s">
        <v>27</v>
      </c>
      <c r="C22" s="10" t="s">
        <v>27</v>
      </c>
      <c r="D22" s="10" t="s">
        <v>27</v>
      </c>
      <c r="E22" s="10" t="s">
        <v>27</v>
      </c>
      <c r="F22" s="10" t="s">
        <v>27</v>
      </c>
      <c r="G22" s="10" t="s">
        <v>27</v>
      </c>
      <c r="H22" s="10" t="s">
        <v>27</v>
      </c>
      <c r="I22" s="10" t="s">
        <v>27</v>
      </c>
      <c r="J22" s="10" t="s">
        <v>27</v>
      </c>
      <c r="K22" s="10" t="s">
        <v>27</v>
      </c>
      <c r="L22" s="10" t="s">
        <v>27</v>
      </c>
      <c r="M22" s="10" t="s">
        <v>27</v>
      </c>
      <c r="N22" s="10" t="s">
        <v>27</v>
      </c>
      <c r="O22" s="10" t="s">
        <v>27</v>
      </c>
      <c r="P22" s="10" t="s">
        <v>27</v>
      </c>
      <c r="Q22" s="10" t="s">
        <v>27</v>
      </c>
      <c r="R22" s="10" t="s">
        <v>27</v>
      </c>
      <c r="S22" s="10">
        <f>D22*1+F22*2+H22*3</f>
      </c>
      <c r="T22" s="10" t="s">
        <v>27</v>
      </c>
    </row>
    <row r="23" ht="15" customHeight="1" spans="1:20" x14ac:dyDescent="0.25">
      <c r="A23" s="8" t="s">
        <v>27</v>
      </c>
      <c r="B23" s="9" t="s">
        <v>27</v>
      </c>
      <c r="C23" s="8" t="s">
        <v>27</v>
      </c>
      <c r="D23" s="8" t="s">
        <v>27</v>
      </c>
      <c r="E23" s="8" t="s">
        <v>27</v>
      </c>
      <c r="F23" s="8" t="s">
        <v>27</v>
      </c>
      <c r="G23" s="8" t="s">
        <v>27</v>
      </c>
      <c r="H23" s="8" t="s">
        <v>27</v>
      </c>
      <c r="I23" s="8" t="s">
        <v>27</v>
      </c>
      <c r="J23" s="8" t="s">
        <v>27</v>
      </c>
      <c r="K23" s="8" t="s">
        <v>27</v>
      </c>
      <c r="L23" s="8" t="s">
        <v>27</v>
      </c>
      <c r="M23" s="8" t="s">
        <v>27</v>
      </c>
      <c r="N23" s="8" t="s">
        <v>27</v>
      </c>
      <c r="O23" s="8" t="s">
        <v>27</v>
      </c>
      <c r="P23" s="8" t="s">
        <v>27</v>
      </c>
      <c r="Q23" s="8" t="s">
        <v>27</v>
      </c>
      <c r="R23" s="8" t="s">
        <v>27</v>
      </c>
      <c r="S23" s="8">
        <f>D23*1+F23*2+H23*3</f>
      </c>
      <c r="T23" s="8" t="s">
        <v>27</v>
      </c>
    </row>
    <row r="24" ht="16" customHeight="1" spans="1:20" x14ac:dyDescent="0.25">
      <c r="A24" s="12" t="s">
        <v>27</v>
      </c>
      <c r="B24" s="13" t="s">
        <v>36</v>
      </c>
      <c r="C24" s="12" t="s">
        <v>27</v>
      </c>
      <c r="D24" s="12">
        <f>SUM(D9:D23)</f>
      </c>
      <c r="E24" s="12">
        <f>SUM(E9:E23)</f>
      </c>
      <c r="F24" s="12">
        <f>SUM(F9:F23)</f>
      </c>
      <c r="G24" s="12">
        <f>SUM(G9:G23)</f>
      </c>
      <c r="H24" s="12">
        <f>SUM(H9:H23)</f>
      </c>
      <c r="I24" s="12">
        <f>SUM(I9:I23)</f>
      </c>
      <c r="J24" s="12">
        <f>SUM(J9:J23)</f>
      </c>
      <c r="K24" s="12">
        <f>SUM(K9:K23)</f>
      </c>
      <c r="L24" s="12">
        <f>SUM(L9:L23)</f>
      </c>
      <c r="M24" s="12">
        <f>SUM(M9:M23)</f>
      </c>
      <c r="N24" s="12">
        <f>SUM(N9:N23)</f>
      </c>
      <c r="O24" s="12">
        <f>SUM(O9:O23)</f>
      </c>
      <c r="P24" s="12">
        <f>SUM(P9:P23)</f>
      </c>
      <c r="Q24" s="12">
        <f>SUM(Q9:Q23)</f>
      </c>
      <c r="R24" s="12">
        <f>SUM(R9:R23)</f>
      </c>
      <c r="S24" s="12">
        <f>SUM(S9:S23)</f>
      </c>
      <c r="T24" s="12" t="s">
        <v>27</v>
      </c>
    </row>
    <row r="25" ht="14" customHeight="1" spans="1:20" x14ac:dyDescent="0.25">
      <c r="A25" s="14" t="s">
        <v>37</v>
      </c>
      <c r="B25" s="14"/>
      <c r="C25" s="14"/>
      <c r="D25" s="15" t="s">
        <v>139</v>
      </c>
      <c r="E25" s="15"/>
      <c r="F25" s="15" t="s">
        <v>140</v>
      </c>
      <c r="G25" s="15"/>
      <c r="H25" s="15" t="s">
        <v>141</v>
      </c>
      <c r="I25" s="15"/>
      <c r="K25"/>
      <c r="L25"/>
      <c r="M25"/>
      <c r="N25"/>
      <c r="O25"/>
      <c r="P25"/>
      <c r="Q25"/>
      <c r="R25"/>
      <c r="S25"/>
      <c r="T25"/>
    </row>
    <row r="26" ht="10" customHeight="1" spans="1:20" x14ac:dyDescent="0.25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ht="20" customHeight="1" spans="1:20" x14ac:dyDescent="0.25">
      <c r="A27" s="16" t="s">
        <v>142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</row>
    <row r="28" ht="16" customHeight="1" spans="1:20" x14ac:dyDescent="0.25">
      <c r="A28" s="17" t="s">
        <v>42</v>
      </c>
      <c r="B28" s="17" t="s">
        <v>43</v>
      </c>
      <c r="C28" s="17" t="s">
        <v>44</v>
      </c>
      <c r="D28" s="17" t="s">
        <v>45</v>
      </c>
      <c r="E28" s="17" t="s">
        <v>46</v>
      </c>
      <c r="F28" s="17" t="s">
        <v>47</v>
      </c>
      <c r="G28" s="17" t="s">
        <v>48</v>
      </c>
      <c r="H28" s="17" t="s">
        <v>49</v>
      </c>
      <c r="I28" s="17" t="s">
        <v>50</v>
      </c>
      <c r="K28"/>
      <c r="L28"/>
      <c r="M28"/>
      <c r="N28"/>
      <c r="O28"/>
      <c r="P28"/>
      <c r="Q28"/>
      <c r="R28"/>
      <c r="S28"/>
      <c r="T28"/>
    </row>
    <row r="29" ht="15" customHeight="1" spans="1:20" x14ac:dyDescent="0.25">
      <c r="A29" s="8" t="s">
        <v>27</v>
      </c>
      <c r="B29" s="8" t="s">
        <v>27</v>
      </c>
      <c r="C29" s="8" t="s">
        <v>27</v>
      </c>
      <c r="D29" s="8" t="s">
        <v>27</v>
      </c>
      <c r="E29" s="8" t="s">
        <v>27</v>
      </c>
      <c r="F29" s="8" t="s">
        <v>27</v>
      </c>
      <c r="G29" s="8" t="s">
        <v>27</v>
      </c>
      <c r="H29" s="8" t="s">
        <v>27</v>
      </c>
      <c r="I29" s="8" t="s">
        <v>27</v>
      </c>
      <c r="K29"/>
      <c r="L29"/>
      <c r="M29"/>
      <c r="N29"/>
      <c r="O29"/>
      <c r="P29"/>
      <c r="Q29"/>
      <c r="R29"/>
      <c r="S29"/>
      <c r="T29"/>
    </row>
    <row r="30" ht="13" customHeight="1" spans="1:20" x14ac:dyDescent="0.25">
      <c r="A30" s="19" t="s">
        <v>54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</sheetData>
  <mergeCells count="17">
    <mergeCell ref="A1:T1"/>
    <mergeCell ref="A2:T2"/>
    <mergeCell ref="A3:T3"/>
    <mergeCell ref="A4:T4"/>
    <mergeCell ref="A5:T5"/>
    <mergeCell ref="A6:T6"/>
    <mergeCell ref="A7:T7"/>
    <mergeCell ref="A25:C25"/>
    <mergeCell ref="D25:E25"/>
    <mergeCell ref="F25:G25"/>
    <mergeCell ref="H25:I25"/>
    <mergeCell ref="J25:T25"/>
    <mergeCell ref="A26:T26"/>
    <mergeCell ref="A27:T27"/>
    <mergeCell ref="J28:T28"/>
    <mergeCell ref="J29:T29"/>
    <mergeCell ref="A30:T30"/>
  </mergeCells>
  <pageSetup orientation="landscape"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F1</vt:lpstr>
      <vt:lpstr>F2</vt:lpstr>
      <vt:lpstr>F3</vt:lpstr>
      <vt:lpstr>F4</vt:lpstr>
      <vt:lpstr>F5</vt:lpstr>
      <vt:lpstr>F6</vt:lpstr>
      <vt:lpstr>F7</vt:lpstr>
      <vt:lpstr>F8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Hoppers Analytics · Claude Sonnet</dc:creator>
  <dc:title/>
  <dc:subject>Torneo Star Córdoba 2026</dc:subject>
  <dc:description/>
  <cp:keywords/>
  <cp:category/>
  <cp:lastModifiedBy>Unknown</cp:lastModifiedBy>
  <dcterms:created xsi:type="dcterms:W3CDTF">2026-05-20T17:46:20Z</dcterms:created>
  <dcterms:modified xsi:type="dcterms:W3CDTF">2026-05-20T17:46:20Z</dcterms:modified>
</cp:coreProperties>
</file>